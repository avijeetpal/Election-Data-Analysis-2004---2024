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L3" i="1"/>
  <c r="Q3" i="1"/>
  <c r="G4" i="1"/>
  <c r="L4" i="1"/>
  <c r="L6" i="1" s="1"/>
  <c r="Q4" i="1"/>
  <c r="Q6" i="1" s="1"/>
  <c r="G5" i="1"/>
  <c r="L5" i="1"/>
  <c r="Q5" i="1"/>
  <c r="C6" i="1"/>
  <c r="D6" i="1"/>
  <c r="E6" i="1"/>
  <c r="F6" i="1"/>
  <c r="G6" i="1"/>
  <c r="I6" i="1"/>
  <c r="J6" i="1"/>
  <c r="K6" i="1"/>
  <c r="N6" i="1"/>
  <c r="O6" i="1"/>
  <c r="P6" i="1"/>
  <c r="G7" i="1"/>
  <c r="L7" i="1"/>
  <c r="Q7" i="1"/>
  <c r="G8" i="1"/>
  <c r="I8" i="1"/>
  <c r="J8" i="1"/>
  <c r="K8" i="1"/>
  <c r="L8" i="1"/>
  <c r="N8" i="1"/>
  <c r="P8" i="1" s="1"/>
  <c r="O8" i="1"/>
  <c r="G9" i="1"/>
  <c r="I9" i="1" s="1"/>
  <c r="C10" i="1"/>
  <c r="D10" i="1"/>
  <c r="E10" i="1"/>
  <c r="F10" i="1"/>
  <c r="G10" i="1"/>
  <c r="G11" i="1"/>
  <c r="G14" i="1" s="1"/>
  <c r="L11" i="1"/>
  <c r="Q11" i="1"/>
  <c r="G12" i="1"/>
  <c r="L12" i="1"/>
  <c r="L14" i="1" s="1"/>
  <c r="Q12" i="1"/>
  <c r="G13" i="1"/>
  <c r="L13" i="1"/>
  <c r="Q13" i="1"/>
  <c r="C14" i="1"/>
  <c r="D14" i="1"/>
  <c r="E14" i="1"/>
  <c r="F14" i="1"/>
  <c r="I14" i="1"/>
  <c r="J14" i="1"/>
  <c r="K14" i="1"/>
  <c r="N14" i="1"/>
  <c r="O14" i="1"/>
  <c r="P14" i="1"/>
  <c r="Q14" i="1"/>
  <c r="G15" i="1"/>
  <c r="G18" i="1" s="1"/>
  <c r="L15" i="1"/>
  <c r="L18" i="1" s="1"/>
  <c r="Q15" i="1"/>
  <c r="Q18" i="1" s="1"/>
  <c r="G16" i="1"/>
  <c r="L16" i="1"/>
  <c r="Q16" i="1"/>
  <c r="G17" i="1"/>
  <c r="L17" i="1"/>
  <c r="Q17" i="1"/>
  <c r="C18" i="1"/>
  <c r="D18" i="1"/>
  <c r="E18" i="1"/>
  <c r="F18" i="1"/>
  <c r="I18" i="1"/>
  <c r="J18" i="1"/>
  <c r="K18" i="1"/>
  <c r="N18" i="1"/>
  <c r="O18" i="1"/>
  <c r="P18" i="1"/>
  <c r="G19" i="1"/>
  <c r="G22" i="1" s="1"/>
  <c r="L19" i="1"/>
  <c r="Q19" i="1"/>
  <c r="G20" i="1"/>
  <c r="L20" i="1"/>
  <c r="L22" i="1" s="1"/>
  <c r="Q20" i="1"/>
  <c r="G21" i="1"/>
  <c r="L21" i="1"/>
  <c r="Q21" i="1"/>
  <c r="Q22" i="1" s="1"/>
  <c r="C22" i="1"/>
  <c r="D22" i="1"/>
  <c r="E22" i="1"/>
  <c r="F22" i="1"/>
  <c r="I22" i="1"/>
  <c r="J22" i="1"/>
  <c r="K22" i="1"/>
  <c r="N22" i="1"/>
  <c r="O22" i="1"/>
  <c r="P22" i="1"/>
  <c r="G23" i="1"/>
  <c r="G26" i="1" s="1"/>
  <c r="L23" i="1"/>
  <c r="L26" i="1" s="1"/>
  <c r="Q23" i="1"/>
  <c r="G24" i="1"/>
  <c r="L24" i="1"/>
  <c r="Q24" i="1"/>
  <c r="G25" i="1"/>
  <c r="L25" i="1"/>
  <c r="Q25" i="1"/>
  <c r="C26" i="1"/>
  <c r="D26" i="1"/>
  <c r="E26" i="1"/>
  <c r="F26" i="1"/>
  <c r="I26" i="1"/>
  <c r="J26" i="1"/>
  <c r="K26" i="1"/>
  <c r="N26" i="1"/>
  <c r="O26" i="1"/>
  <c r="P26" i="1"/>
  <c r="Q26" i="1"/>
  <c r="G27" i="1"/>
  <c r="L27" i="1"/>
  <c r="Q27" i="1"/>
  <c r="G28" i="1"/>
  <c r="L28" i="1"/>
  <c r="L30" i="1" s="1"/>
  <c r="Q28" i="1"/>
  <c r="G29" i="1"/>
  <c r="L29" i="1"/>
  <c r="Q29" i="1"/>
  <c r="Q30" i="1" s="1"/>
  <c r="C30" i="1"/>
  <c r="D30" i="1"/>
  <c r="E30" i="1"/>
  <c r="F30" i="1"/>
  <c r="G30" i="1"/>
  <c r="I30" i="1"/>
  <c r="J30" i="1"/>
  <c r="K30" i="1"/>
  <c r="N30" i="1"/>
  <c r="O30" i="1"/>
  <c r="P30" i="1"/>
  <c r="G31" i="1"/>
  <c r="G34" i="1" s="1"/>
  <c r="L31" i="1"/>
  <c r="Q31" i="1"/>
  <c r="G32" i="1"/>
  <c r="L32" i="1"/>
  <c r="L34" i="1" s="1"/>
  <c r="Q32" i="1"/>
  <c r="G33" i="1"/>
  <c r="L33" i="1"/>
  <c r="Q33" i="1"/>
  <c r="Q34" i="1" s="1"/>
  <c r="C34" i="1"/>
  <c r="D34" i="1"/>
  <c r="E34" i="1"/>
  <c r="F34" i="1"/>
  <c r="I34" i="1"/>
  <c r="J34" i="1"/>
  <c r="K34" i="1"/>
  <c r="N34" i="1"/>
  <c r="O34" i="1"/>
  <c r="P34" i="1"/>
  <c r="G35" i="1"/>
  <c r="G38" i="1" s="1"/>
  <c r="L35" i="1"/>
  <c r="Q35" i="1"/>
  <c r="Q38" i="1" s="1"/>
  <c r="G36" i="1"/>
  <c r="L36" i="1"/>
  <c r="Q36" i="1"/>
  <c r="G37" i="1"/>
  <c r="L37" i="1"/>
  <c r="Q37" i="1"/>
  <c r="C38" i="1"/>
  <c r="D38" i="1"/>
  <c r="E38" i="1"/>
  <c r="F38" i="1"/>
  <c r="I38" i="1"/>
  <c r="J38" i="1"/>
  <c r="K38" i="1"/>
  <c r="L38" i="1"/>
  <c r="N38" i="1"/>
  <c r="O38" i="1"/>
  <c r="P38" i="1"/>
  <c r="G39" i="1"/>
  <c r="L39" i="1"/>
  <c r="Q39" i="1"/>
  <c r="G40" i="1"/>
  <c r="L40" i="1"/>
  <c r="L42" i="1" s="1"/>
  <c r="Q40" i="1"/>
  <c r="G41" i="1"/>
  <c r="L41" i="1"/>
  <c r="Q41" i="1"/>
  <c r="Q42" i="1" s="1"/>
  <c r="C42" i="1"/>
  <c r="D42" i="1"/>
  <c r="E42" i="1"/>
  <c r="F42" i="1"/>
  <c r="G42" i="1"/>
  <c r="I42" i="1"/>
  <c r="J42" i="1"/>
  <c r="K42" i="1"/>
  <c r="N42" i="1"/>
  <c r="O42" i="1"/>
  <c r="P42" i="1"/>
  <c r="G43" i="1"/>
  <c r="G46" i="1" s="1"/>
  <c r="L43" i="1"/>
  <c r="Q43" i="1"/>
  <c r="G44" i="1"/>
  <c r="L44" i="1"/>
  <c r="L46" i="1" s="1"/>
  <c r="Q44" i="1"/>
  <c r="G45" i="1"/>
  <c r="L45" i="1"/>
  <c r="Q45" i="1"/>
  <c r="C46" i="1"/>
  <c r="D46" i="1"/>
  <c r="E46" i="1"/>
  <c r="F46" i="1"/>
  <c r="I46" i="1"/>
  <c r="J46" i="1"/>
  <c r="K46" i="1"/>
  <c r="N46" i="1"/>
  <c r="O46" i="1"/>
  <c r="P46" i="1"/>
  <c r="Q46" i="1"/>
  <c r="G47" i="1"/>
  <c r="G50" i="1" s="1"/>
  <c r="L47" i="1"/>
  <c r="L50" i="1" s="1"/>
  <c r="Q47" i="1"/>
  <c r="Q50" i="1" s="1"/>
  <c r="G48" i="1"/>
  <c r="L48" i="1"/>
  <c r="Q48" i="1"/>
  <c r="G49" i="1"/>
  <c r="L49" i="1"/>
  <c r="Q49" i="1"/>
  <c r="C50" i="1"/>
  <c r="D50" i="1"/>
  <c r="E50" i="1"/>
  <c r="F50" i="1"/>
  <c r="I50" i="1"/>
  <c r="J50" i="1"/>
  <c r="K50" i="1"/>
  <c r="N50" i="1"/>
  <c r="O50" i="1"/>
  <c r="P50" i="1"/>
  <c r="G51" i="1"/>
  <c r="G54" i="1" s="1"/>
  <c r="L51" i="1"/>
  <c r="Q51" i="1"/>
  <c r="G52" i="1"/>
  <c r="L52" i="1"/>
  <c r="L54" i="1" s="1"/>
  <c r="Q52" i="1"/>
  <c r="G53" i="1"/>
  <c r="L53" i="1"/>
  <c r="Q53" i="1"/>
  <c r="Q54" i="1" s="1"/>
  <c r="C54" i="1"/>
  <c r="D54" i="1"/>
  <c r="E54" i="1"/>
  <c r="F54" i="1"/>
  <c r="I54" i="1"/>
  <c r="J54" i="1"/>
  <c r="K54" i="1"/>
  <c r="N54" i="1"/>
  <c r="O54" i="1"/>
  <c r="P54" i="1"/>
  <c r="G55" i="1"/>
  <c r="G58" i="1" s="1"/>
  <c r="L55" i="1"/>
  <c r="L58" i="1" s="1"/>
  <c r="Q55" i="1"/>
  <c r="G56" i="1"/>
  <c r="L56" i="1"/>
  <c r="Q56" i="1"/>
  <c r="Q58" i="1" s="1"/>
  <c r="G57" i="1"/>
  <c r="L57" i="1"/>
  <c r="Q57" i="1"/>
  <c r="C58" i="1"/>
  <c r="D58" i="1"/>
  <c r="E58" i="1"/>
  <c r="F58" i="1"/>
  <c r="I58" i="1"/>
  <c r="J58" i="1"/>
  <c r="K58" i="1"/>
  <c r="N58" i="1"/>
  <c r="O58" i="1"/>
  <c r="P58" i="1"/>
  <c r="G59" i="1"/>
  <c r="L59" i="1"/>
  <c r="Q59" i="1"/>
  <c r="G60" i="1"/>
  <c r="L60" i="1"/>
  <c r="L62" i="1" s="1"/>
  <c r="Q60" i="1"/>
  <c r="G61" i="1"/>
  <c r="L61" i="1"/>
  <c r="Q61" i="1"/>
  <c r="Q62" i="1" s="1"/>
  <c r="C62" i="1"/>
  <c r="D62" i="1"/>
  <c r="E62" i="1"/>
  <c r="F62" i="1"/>
  <c r="G62" i="1"/>
  <c r="I62" i="1"/>
  <c r="J62" i="1"/>
  <c r="K62" i="1"/>
  <c r="N62" i="1"/>
  <c r="O62" i="1"/>
  <c r="P62" i="1"/>
  <c r="G63" i="1"/>
  <c r="G66" i="1" s="1"/>
  <c r="L63" i="1"/>
  <c r="Q63" i="1"/>
  <c r="G64" i="1"/>
  <c r="L64" i="1"/>
  <c r="L66" i="1" s="1"/>
  <c r="Q64" i="1"/>
  <c r="G65" i="1"/>
  <c r="L65" i="1"/>
  <c r="Q65" i="1"/>
  <c r="Q66" i="1" s="1"/>
  <c r="C66" i="1"/>
  <c r="D66" i="1"/>
  <c r="E66" i="1"/>
  <c r="F66" i="1"/>
  <c r="I66" i="1"/>
  <c r="J66" i="1"/>
  <c r="K66" i="1"/>
  <c r="N66" i="1"/>
  <c r="O66" i="1"/>
  <c r="P66" i="1"/>
  <c r="G67" i="1"/>
  <c r="G70" i="1" s="1"/>
  <c r="L67" i="1"/>
  <c r="Q67" i="1"/>
  <c r="Q70" i="1" s="1"/>
  <c r="G68" i="1"/>
  <c r="L68" i="1"/>
  <c r="Q68" i="1"/>
  <c r="G69" i="1"/>
  <c r="L69" i="1"/>
  <c r="Q69" i="1"/>
  <c r="C70" i="1"/>
  <c r="D70" i="1"/>
  <c r="E70" i="1"/>
  <c r="F70" i="1"/>
  <c r="I70" i="1"/>
  <c r="J70" i="1"/>
  <c r="K70" i="1"/>
  <c r="L70" i="1"/>
  <c r="N70" i="1"/>
  <c r="O70" i="1"/>
  <c r="P70" i="1"/>
  <c r="G71" i="1"/>
  <c r="L71" i="1"/>
  <c r="Q71" i="1"/>
  <c r="G72" i="1"/>
  <c r="L72" i="1"/>
  <c r="L74" i="1" s="1"/>
  <c r="Q72" i="1"/>
  <c r="G73" i="1"/>
  <c r="L73" i="1"/>
  <c r="Q73" i="1"/>
  <c r="Q74" i="1" s="1"/>
  <c r="C74" i="1"/>
  <c r="D74" i="1"/>
  <c r="E74" i="1"/>
  <c r="F74" i="1"/>
  <c r="G74" i="1"/>
  <c r="I74" i="1"/>
  <c r="J74" i="1"/>
  <c r="K74" i="1"/>
  <c r="N74" i="1"/>
  <c r="O74" i="1"/>
  <c r="P74" i="1"/>
  <c r="G75" i="1"/>
  <c r="G78" i="1" s="1"/>
  <c r="L75" i="1"/>
  <c r="Q75" i="1"/>
  <c r="G76" i="1"/>
  <c r="L76" i="1"/>
  <c r="L78" i="1" s="1"/>
  <c r="Q76" i="1"/>
  <c r="G77" i="1"/>
  <c r="L77" i="1"/>
  <c r="Q77" i="1"/>
  <c r="C78" i="1"/>
  <c r="D78" i="1"/>
  <c r="E78" i="1"/>
  <c r="F78" i="1"/>
  <c r="I78" i="1"/>
  <c r="J78" i="1"/>
  <c r="K78" i="1"/>
  <c r="N78" i="1"/>
  <c r="O78" i="1"/>
  <c r="P78" i="1"/>
  <c r="Q78" i="1"/>
  <c r="G79" i="1"/>
  <c r="G82" i="1" s="1"/>
  <c r="L79" i="1"/>
  <c r="Q79" i="1"/>
  <c r="Q82" i="1" s="1"/>
  <c r="G80" i="1"/>
  <c r="L80" i="1"/>
  <c r="Q80" i="1"/>
  <c r="G81" i="1"/>
  <c r="L81" i="1"/>
  <c r="Q81" i="1"/>
  <c r="C82" i="1"/>
  <c r="D82" i="1"/>
  <c r="E82" i="1"/>
  <c r="F82" i="1"/>
  <c r="I82" i="1"/>
  <c r="J82" i="1"/>
  <c r="K82" i="1"/>
  <c r="L82" i="1"/>
  <c r="N82" i="1"/>
  <c r="O82" i="1"/>
  <c r="P82" i="1"/>
  <c r="G83" i="1"/>
  <c r="G86" i="1" s="1"/>
  <c r="L83" i="1"/>
  <c r="L86" i="1" s="1"/>
  <c r="Q83" i="1"/>
  <c r="G84" i="1"/>
  <c r="L84" i="1"/>
  <c r="Q84" i="1"/>
  <c r="G85" i="1"/>
  <c r="L85" i="1"/>
  <c r="Q85" i="1"/>
  <c r="Q86" i="1" s="1"/>
  <c r="C86" i="1"/>
  <c r="D86" i="1"/>
  <c r="E86" i="1"/>
  <c r="F86" i="1"/>
  <c r="I86" i="1"/>
  <c r="J86" i="1"/>
  <c r="K86" i="1"/>
  <c r="N86" i="1"/>
  <c r="O86" i="1"/>
  <c r="P86" i="1"/>
  <c r="G87" i="1"/>
  <c r="G90" i="1" s="1"/>
  <c r="L87" i="1"/>
  <c r="Q87" i="1"/>
  <c r="G88" i="1"/>
  <c r="L88" i="1"/>
  <c r="L90" i="1" s="1"/>
  <c r="Q88" i="1"/>
  <c r="G89" i="1"/>
  <c r="L89" i="1"/>
  <c r="Q89" i="1"/>
  <c r="C90" i="1"/>
  <c r="D90" i="1"/>
  <c r="E90" i="1"/>
  <c r="F90" i="1"/>
  <c r="I90" i="1"/>
  <c r="J90" i="1"/>
  <c r="K90" i="1"/>
  <c r="N90" i="1"/>
  <c r="O90" i="1"/>
  <c r="P90" i="1"/>
  <c r="Q90" i="1"/>
  <c r="G91" i="1"/>
  <c r="L91" i="1"/>
  <c r="Q91" i="1"/>
  <c r="G92" i="1"/>
  <c r="L92" i="1"/>
  <c r="L94" i="1" s="1"/>
  <c r="Q92" i="1"/>
  <c r="G93" i="1"/>
  <c r="L93" i="1"/>
  <c r="Q93" i="1"/>
  <c r="Q94" i="1" s="1"/>
  <c r="C94" i="1"/>
  <c r="D94" i="1"/>
  <c r="E94" i="1"/>
  <c r="F94" i="1"/>
  <c r="G94" i="1"/>
  <c r="I94" i="1"/>
  <c r="J94" i="1"/>
  <c r="K94" i="1"/>
  <c r="N94" i="1"/>
  <c r="O94" i="1"/>
  <c r="P94" i="1"/>
  <c r="G95" i="1"/>
  <c r="G98" i="1" s="1"/>
  <c r="L95" i="1"/>
  <c r="Q95" i="1"/>
  <c r="G96" i="1"/>
  <c r="L96" i="1"/>
  <c r="L98" i="1" s="1"/>
  <c r="Q96" i="1"/>
  <c r="G97" i="1"/>
  <c r="L97" i="1"/>
  <c r="Q97" i="1"/>
  <c r="Q98" i="1" s="1"/>
  <c r="C98" i="1"/>
  <c r="D98" i="1"/>
  <c r="E98" i="1"/>
  <c r="F98" i="1"/>
  <c r="I98" i="1"/>
  <c r="J98" i="1"/>
  <c r="K98" i="1"/>
  <c r="N98" i="1"/>
  <c r="O98" i="1"/>
  <c r="P98" i="1"/>
  <c r="G99" i="1"/>
  <c r="G102" i="1" s="1"/>
  <c r="L99" i="1"/>
  <c r="L102" i="1" s="1"/>
  <c r="Q99" i="1"/>
  <c r="Q102" i="1" s="1"/>
  <c r="G100" i="1"/>
  <c r="L100" i="1"/>
  <c r="Q100" i="1"/>
  <c r="G101" i="1"/>
  <c r="L101" i="1"/>
  <c r="Q101" i="1"/>
  <c r="C102" i="1"/>
  <c r="D102" i="1"/>
  <c r="E102" i="1"/>
  <c r="F102" i="1"/>
  <c r="I102" i="1"/>
  <c r="J102" i="1"/>
  <c r="K102" i="1"/>
  <c r="N102" i="1"/>
  <c r="O102" i="1"/>
  <c r="P102" i="1"/>
  <c r="G103" i="1"/>
  <c r="L103" i="1"/>
  <c r="Q103" i="1"/>
  <c r="G104" i="1"/>
  <c r="L104" i="1"/>
  <c r="L106" i="1" s="1"/>
  <c r="Q104" i="1"/>
  <c r="G105" i="1"/>
  <c r="L105" i="1"/>
  <c r="Q105" i="1"/>
  <c r="Q106" i="1" s="1"/>
  <c r="C106" i="1"/>
  <c r="D106" i="1"/>
  <c r="E106" i="1"/>
  <c r="F106" i="1"/>
  <c r="G106" i="1"/>
  <c r="I106" i="1"/>
  <c r="J106" i="1"/>
  <c r="K106" i="1"/>
  <c r="N106" i="1"/>
  <c r="O106" i="1"/>
  <c r="P106" i="1"/>
  <c r="G107" i="1"/>
  <c r="G110" i="1" s="1"/>
  <c r="L107" i="1"/>
  <c r="Q107" i="1"/>
  <c r="G108" i="1"/>
  <c r="L108" i="1"/>
  <c r="L110" i="1" s="1"/>
  <c r="Q108" i="1"/>
  <c r="G109" i="1"/>
  <c r="L109" i="1"/>
  <c r="Q109" i="1"/>
  <c r="C110" i="1"/>
  <c r="D110" i="1"/>
  <c r="E110" i="1"/>
  <c r="F110" i="1"/>
  <c r="I110" i="1"/>
  <c r="J110" i="1"/>
  <c r="K110" i="1"/>
  <c r="N110" i="1"/>
  <c r="O110" i="1"/>
  <c r="P110" i="1"/>
  <c r="Q110" i="1"/>
  <c r="G111" i="1"/>
  <c r="G114" i="1" s="1"/>
  <c r="L111" i="1"/>
  <c r="L114" i="1" s="1"/>
  <c r="Q111" i="1"/>
  <c r="Q114" i="1" s="1"/>
  <c r="G112" i="1"/>
  <c r="L112" i="1"/>
  <c r="Q112" i="1"/>
  <c r="G113" i="1"/>
  <c r="L113" i="1"/>
  <c r="Q113" i="1"/>
  <c r="C114" i="1"/>
  <c r="D114" i="1"/>
  <c r="E114" i="1"/>
  <c r="F114" i="1"/>
  <c r="I114" i="1"/>
  <c r="J114" i="1"/>
  <c r="K114" i="1"/>
  <c r="N114" i="1"/>
  <c r="O114" i="1"/>
  <c r="P114" i="1"/>
  <c r="G115" i="1"/>
  <c r="G118" i="1" s="1"/>
  <c r="L115" i="1"/>
  <c r="L118" i="1" s="1"/>
  <c r="Q115" i="1"/>
  <c r="G116" i="1"/>
  <c r="L116" i="1"/>
  <c r="Q116" i="1"/>
  <c r="Q118" i="1" s="1"/>
  <c r="G117" i="1"/>
  <c r="L117" i="1"/>
  <c r="Q117" i="1"/>
  <c r="C118" i="1"/>
  <c r="D118" i="1"/>
  <c r="E118" i="1"/>
  <c r="F118" i="1"/>
  <c r="I118" i="1"/>
  <c r="J118" i="1"/>
  <c r="K118" i="1"/>
  <c r="N118" i="1"/>
  <c r="O118" i="1"/>
  <c r="P118" i="1"/>
  <c r="G119" i="1"/>
  <c r="G122" i="1" s="1"/>
  <c r="L119" i="1"/>
  <c r="L122" i="1" s="1"/>
  <c r="Q119" i="1"/>
  <c r="G120" i="1"/>
  <c r="L120" i="1"/>
  <c r="Q120" i="1"/>
  <c r="G121" i="1"/>
  <c r="L121" i="1"/>
  <c r="Q121" i="1"/>
  <c r="C122" i="1"/>
  <c r="D122" i="1"/>
  <c r="E122" i="1"/>
  <c r="F122" i="1"/>
  <c r="I122" i="1"/>
  <c r="J122" i="1"/>
  <c r="K122" i="1"/>
  <c r="N122" i="1"/>
  <c r="O122" i="1"/>
  <c r="P122" i="1"/>
  <c r="Q122" i="1"/>
  <c r="G123" i="1"/>
  <c r="L123" i="1"/>
  <c r="Q123" i="1"/>
  <c r="G124" i="1"/>
  <c r="L124" i="1"/>
  <c r="L126" i="1" s="1"/>
  <c r="Q124" i="1"/>
  <c r="G125" i="1"/>
  <c r="L125" i="1"/>
  <c r="Q125" i="1"/>
  <c r="Q126" i="1" s="1"/>
  <c r="C126" i="1"/>
  <c r="D126" i="1"/>
  <c r="E126" i="1"/>
  <c r="F126" i="1"/>
  <c r="G126" i="1"/>
  <c r="I126" i="1"/>
  <c r="J126" i="1"/>
  <c r="K126" i="1"/>
  <c r="N126" i="1"/>
  <c r="O126" i="1"/>
  <c r="P126" i="1"/>
  <c r="G127" i="1"/>
  <c r="G130" i="1" s="1"/>
  <c r="L127" i="1"/>
  <c r="Q127" i="1"/>
  <c r="G128" i="1"/>
  <c r="L128" i="1"/>
  <c r="L130" i="1" s="1"/>
  <c r="Q128" i="1"/>
  <c r="G129" i="1"/>
  <c r="L129" i="1"/>
  <c r="Q129" i="1"/>
  <c r="Q130" i="1" s="1"/>
  <c r="C130" i="1"/>
  <c r="D130" i="1"/>
  <c r="E130" i="1"/>
  <c r="F130" i="1"/>
  <c r="I130" i="1"/>
  <c r="J130" i="1"/>
  <c r="K130" i="1"/>
  <c r="N130" i="1"/>
  <c r="O130" i="1"/>
  <c r="P130" i="1"/>
  <c r="G131" i="1"/>
  <c r="G134" i="1" s="1"/>
  <c r="L131" i="1"/>
  <c r="Q131" i="1"/>
  <c r="Q134" i="1" s="1"/>
  <c r="G132" i="1"/>
  <c r="L132" i="1"/>
  <c r="Q132" i="1"/>
  <c r="G133" i="1"/>
  <c r="L133" i="1"/>
  <c r="Q133" i="1"/>
  <c r="C134" i="1"/>
  <c r="D134" i="1"/>
  <c r="E134" i="1"/>
  <c r="F134" i="1"/>
  <c r="I134" i="1"/>
  <c r="J134" i="1"/>
  <c r="K134" i="1"/>
  <c r="L134" i="1"/>
  <c r="N134" i="1"/>
  <c r="O134" i="1"/>
  <c r="P134" i="1"/>
  <c r="G135" i="1"/>
  <c r="L135" i="1"/>
  <c r="Q135" i="1"/>
  <c r="G136" i="1"/>
  <c r="L136" i="1"/>
  <c r="L138" i="1" s="1"/>
  <c r="Q136" i="1"/>
  <c r="G137" i="1"/>
  <c r="L137" i="1"/>
  <c r="Q137" i="1"/>
  <c r="Q138" i="1" s="1"/>
  <c r="C138" i="1"/>
  <c r="D138" i="1"/>
  <c r="E138" i="1"/>
  <c r="F138" i="1"/>
  <c r="G138" i="1"/>
  <c r="I138" i="1"/>
  <c r="J138" i="1"/>
  <c r="K138" i="1"/>
  <c r="N138" i="1"/>
  <c r="O138" i="1"/>
  <c r="P138" i="1"/>
  <c r="G139" i="1"/>
  <c r="G142" i="1" s="1"/>
  <c r="L139" i="1"/>
  <c r="Q139" i="1"/>
  <c r="G140" i="1"/>
  <c r="L140" i="1"/>
  <c r="L142" i="1" s="1"/>
  <c r="Q140" i="1"/>
  <c r="Q142" i="1" s="1"/>
  <c r="G141" i="1"/>
  <c r="L141" i="1"/>
  <c r="Q141" i="1"/>
  <c r="C142" i="1"/>
  <c r="D142" i="1"/>
  <c r="E142" i="1"/>
  <c r="F142" i="1"/>
  <c r="I142" i="1"/>
  <c r="J142" i="1"/>
  <c r="K142" i="1"/>
  <c r="N142" i="1"/>
  <c r="O142" i="1"/>
  <c r="P142" i="1"/>
  <c r="AA3" i="1"/>
  <c r="AA4" i="1"/>
  <c r="AA5" i="1"/>
  <c r="X6" i="1"/>
  <c r="Y6" i="1"/>
  <c r="Z6" i="1"/>
  <c r="AA7" i="1"/>
  <c r="AA11" i="1"/>
  <c r="AA12" i="1"/>
  <c r="AA13" i="1"/>
  <c r="X14" i="1"/>
  <c r="Y14" i="1"/>
  <c r="Z14" i="1"/>
  <c r="AA14" i="1"/>
  <c r="AA15" i="1"/>
  <c r="AA16" i="1"/>
  <c r="AA17" i="1"/>
  <c r="X18" i="1"/>
  <c r="Y18" i="1"/>
  <c r="Z18" i="1"/>
  <c r="AA19" i="1"/>
  <c r="AA20" i="1"/>
  <c r="AA21" i="1"/>
  <c r="X22" i="1"/>
  <c r="Y22" i="1"/>
  <c r="Z22" i="1"/>
  <c r="AA23" i="1"/>
  <c r="AA24" i="1"/>
  <c r="AA25" i="1"/>
  <c r="X26" i="1"/>
  <c r="Y26" i="1"/>
  <c r="Z26" i="1"/>
  <c r="AA27" i="1"/>
  <c r="AA28" i="1"/>
  <c r="AA29" i="1"/>
  <c r="X30" i="1"/>
  <c r="Y30" i="1"/>
  <c r="Z30" i="1"/>
  <c r="AA31" i="1"/>
  <c r="AA32" i="1"/>
  <c r="X34" i="1"/>
  <c r="Y34" i="1"/>
  <c r="Z34" i="1"/>
  <c r="AA34" i="1"/>
  <c r="AA35" i="1"/>
  <c r="AA36" i="1"/>
  <c r="AA37" i="1"/>
  <c r="X38" i="1"/>
  <c r="Y38" i="1"/>
  <c r="Z38" i="1"/>
  <c r="AA39" i="1"/>
  <c r="AA40" i="1"/>
  <c r="AA41" i="1"/>
  <c r="X42" i="1"/>
  <c r="Y42" i="1"/>
  <c r="Z42" i="1"/>
  <c r="AA43" i="1"/>
  <c r="AA44" i="1"/>
  <c r="AA45" i="1"/>
  <c r="X46" i="1"/>
  <c r="Y46" i="1"/>
  <c r="Z46" i="1"/>
  <c r="AA47" i="1"/>
  <c r="AA48" i="1"/>
  <c r="AA49" i="1"/>
  <c r="X50" i="1"/>
  <c r="Y50" i="1"/>
  <c r="Z50" i="1"/>
  <c r="AA51" i="1"/>
  <c r="AA54" i="1" s="1"/>
  <c r="AA52" i="1"/>
  <c r="AA53" i="1"/>
  <c r="X54" i="1"/>
  <c r="Y54" i="1"/>
  <c r="Z54" i="1"/>
  <c r="AA55" i="1"/>
  <c r="AA56" i="1"/>
  <c r="AA57" i="1"/>
  <c r="X58" i="1"/>
  <c r="Y58" i="1"/>
  <c r="Z58" i="1"/>
  <c r="AA59" i="1"/>
  <c r="AA60" i="1"/>
  <c r="AA61" i="1"/>
  <c r="X62" i="1"/>
  <c r="Y62" i="1"/>
  <c r="Z62" i="1"/>
  <c r="AA63" i="1"/>
  <c r="AA64" i="1"/>
  <c r="AA65" i="1"/>
  <c r="X66" i="1"/>
  <c r="Y66" i="1"/>
  <c r="Z66" i="1"/>
  <c r="AA67" i="1"/>
  <c r="AA69" i="1"/>
  <c r="X70" i="1"/>
  <c r="Y70" i="1"/>
  <c r="Z70" i="1"/>
  <c r="AA71" i="1"/>
  <c r="AA72" i="1"/>
  <c r="AA73" i="1"/>
  <c r="X74" i="1"/>
  <c r="Y74" i="1"/>
  <c r="Z74" i="1"/>
  <c r="AA75" i="1"/>
  <c r="AA76" i="1"/>
  <c r="X78" i="1"/>
  <c r="Y78" i="1"/>
  <c r="Z78" i="1"/>
  <c r="AA79" i="1"/>
  <c r="AA80" i="1"/>
  <c r="AA81" i="1"/>
  <c r="X82" i="1"/>
  <c r="Y82" i="1"/>
  <c r="Z82" i="1"/>
  <c r="AA83" i="1"/>
  <c r="AA84" i="1"/>
  <c r="AA85" i="1"/>
  <c r="X86" i="1"/>
  <c r="Y86" i="1"/>
  <c r="Z86" i="1"/>
  <c r="AA87" i="1"/>
  <c r="AA88" i="1"/>
  <c r="X90" i="1"/>
  <c r="Y90" i="1"/>
  <c r="Z90" i="1"/>
  <c r="AA91" i="1"/>
  <c r="AA92" i="1"/>
  <c r="AA93" i="1"/>
  <c r="X94" i="1"/>
  <c r="Y94" i="1"/>
  <c r="Z94" i="1"/>
  <c r="AA95" i="1"/>
  <c r="AA96" i="1"/>
  <c r="AA97" i="1"/>
  <c r="X98" i="1"/>
  <c r="Y98" i="1"/>
  <c r="Z98" i="1"/>
  <c r="AA99" i="1"/>
  <c r="AA100" i="1"/>
  <c r="AA101" i="1"/>
  <c r="X102" i="1"/>
  <c r="Y102" i="1"/>
  <c r="Z102" i="1"/>
  <c r="AA103" i="1"/>
  <c r="AA104" i="1"/>
  <c r="AA105" i="1"/>
  <c r="X106" i="1"/>
  <c r="Y106" i="1"/>
  <c r="Z106" i="1"/>
  <c r="AA107" i="1"/>
  <c r="AA108" i="1"/>
  <c r="AA109" i="1"/>
  <c r="X110" i="1"/>
  <c r="Y110" i="1"/>
  <c r="Z110" i="1"/>
  <c r="AA111" i="1"/>
  <c r="AA112" i="1"/>
  <c r="AA113" i="1"/>
  <c r="X114" i="1"/>
  <c r="Y114" i="1"/>
  <c r="Z114" i="1"/>
  <c r="AA115" i="1"/>
  <c r="AA116" i="1"/>
  <c r="AA117" i="1"/>
  <c r="X118" i="1"/>
  <c r="Y118" i="1"/>
  <c r="Z118" i="1"/>
  <c r="AA119" i="1"/>
  <c r="AA120" i="1"/>
  <c r="AA121" i="1"/>
  <c r="X122" i="1"/>
  <c r="Y122" i="1"/>
  <c r="Z122" i="1"/>
  <c r="AA123" i="1"/>
  <c r="AA124" i="1"/>
  <c r="AA125" i="1"/>
  <c r="X126" i="1"/>
  <c r="Y126" i="1"/>
  <c r="Z126" i="1"/>
  <c r="AA127" i="1"/>
  <c r="AA128" i="1"/>
  <c r="AA129" i="1"/>
  <c r="X130" i="1"/>
  <c r="Y130" i="1"/>
  <c r="Z130" i="1"/>
  <c r="AA131" i="1"/>
  <c r="AA132" i="1"/>
  <c r="AA133" i="1"/>
  <c r="X134" i="1"/>
  <c r="Y134" i="1"/>
  <c r="Z134" i="1"/>
  <c r="AA135" i="1"/>
  <c r="AA136" i="1"/>
  <c r="AA137" i="1"/>
  <c r="X138" i="1"/>
  <c r="Y138" i="1"/>
  <c r="Z138" i="1"/>
  <c r="AA139" i="1"/>
  <c r="AA140" i="1"/>
  <c r="AA141" i="1"/>
  <c r="X142" i="1"/>
  <c r="Y142" i="1"/>
  <c r="Z142" i="1"/>
  <c r="A24" i="1"/>
  <c r="A25" i="1"/>
  <c r="A26" i="1" s="1"/>
  <c r="A28" i="1"/>
  <c r="A29" i="1" s="1"/>
  <c r="A30" i="1" s="1"/>
  <c r="A32" i="1"/>
  <c r="A33" i="1" s="1"/>
  <c r="A34" i="1" s="1"/>
  <c r="A36" i="1"/>
  <c r="A37" i="1" s="1"/>
  <c r="A38" i="1" s="1"/>
  <c r="A40" i="1"/>
  <c r="A41" i="1"/>
  <c r="A42" i="1" s="1"/>
  <c r="A44" i="1"/>
  <c r="A45" i="1" s="1"/>
  <c r="A46" i="1" s="1"/>
  <c r="A48" i="1"/>
  <c r="A49" i="1" s="1"/>
  <c r="A50" i="1" s="1"/>
  <c r="A52" i="1"/>
  <c r="A53" i="1" s="1"/>
  <c r="A54" i="1" s="1"/>
  <c r="A56" i="1"/>
  <c r="A57" i="1"/>
  <c r="A58" i="1" s="1"/>
  <c r="A60" i="1"/>
  <c r="A61" i="1" s="1"/>
  <c r="A62" i="1" s="1"/>
  <c r="A64" i="1"/>
  <c r="A65" i="1" s="1"/>
  <c r="A66" i="1" s="1"/>
  <c r="A68" i="1"/>
  <c r="A69" i="1" s="1"/>
  <c r="A70" i="1" s="1"/>
  <c r="A72" i="1"/>
  <c r="A73" i="1" s="1"/>
  <c r="A74" i="1" s="1"/>
  <c r="A76" i="1"/>
  <c r="A77" i="1" s="1"/>
  <c r="A78" i="1" s="1"/>
  <c r="A80" i="1"/>
  <c r="A81" i="1" s="1"/>
  <c r="A82" i="1" s="1"/>
  <c r="A84" i="1"/>
  <c r="A85" i="1" s="1"/>
  <c r="A86" i="1" s="1"/>
  <c r="A88" i="1"/>
  <c r="A89" i="1"/>
  <c r="A90" i="1" s="1"/>
  <c r="A92" i="1"/>
  <c r="A93" i="1" s="1"/>
  <c r="A94" i="1" s="1"/>
  <c r="A96" i="1"/>
  <c r="A97" i="1" s="1"/>
  <c r="A98" i="1" s="1"/>
  <c r="A100" i="1"/>
  <c r="A101" i="1" s="1"/>
  <c r="A102" i="1" s="1"/>
  <c r="A104" i="1"/>
  <c r="A105" i="1" s="1"/>
  <c r="A106" i="1" s="1"/>
  <c r="A108" i="1"/>
  <c r="A109" i="1" s="1"/>
  <c r="A110" i="1" s="1"/>
  <c r="A112" i="1"/>
  <c r="A113" i="1" s="1"/>
  <c r="A114" i="1" s="1"/>
  <c r="A116" i="1"/>
  <c r="A117" i="1" s="1"/>
  <c r="A118" i="1" s="1"/>
  <c r="A120" i="1"/>
  <c r="A121" i="1" s="1"/>
  <c r="A122" i="1" s="1"/>
  <c r="A124" i="1"/>
  <c r="A125" i="1" s="1"/>
  <c r="A126" i="1" s="1"/>
  <c r="A128" i="1"/>
  <c r="A129" i="1" s="1"/>
  <c r="A130" i="1" s="1"/>
  <c r="A132" i="1"/>
  <c r="A133" i="1" s="1"/>
  <c r="A134" i="1" s="1"/>
  <c r="A136" i="1"/>
  <c r="A137" i="1"/>
  <c r="A138" i="1" s="1"/>
  <c r="A140" i="1"/>
  <c r="A141" i="1" s="1"/>
  <c r="A142" i="1" s="1"/>
  <c r="I10" i="1" l="1"/>
  <c r="K9" i="1"/>
  <c r="K10" i="1" s="1"/>
  <c r="J9" i="1"/>
  <c r="L9" i="1" s="1"/>
  <c r="Q8" i="1"/>
  <c r="AA22" i="1"/>
  <c r="AA6" i="1"/>
  <c r="AA42" i="1"/>
  <c r="AA62" i="1"/>
  <c r="AA50" i="1"/>
  <c r="AA82" i="1"/>
  <c r="AA70" i="1"/>
  <c r="AA134" i="1"/>
  <c r="AA142" i="1"/>
  <c r="AA110" i="1"/>
  <c r="AA26" i="1"/>
  <c r="AA98" i="1"/>
  <c r="AA118" i="1"/>
  <c r="AA138" i="1"/>
  <c r="AA106" i="1"/>
  <c r="AA90" i="1"/>
  <c r="AA58" i="1"/>
  <c r="AA78" i="1"/>
  <c r="AA126" i="1"/>
  <c r="AA102" i="1"/>
  <c r="AA30" i="1"/>
  <c r="AA38" i="1"/>
  <c r="AA18" i="1"/>
  <c r="AA94" i="1"/>
  <c r="AA74" i="1"/>
  <c r="AA122" i="1"/>
  <c r="AA114" i="1"/>
  <c r="AA130" i="1"/>
  <c r="AA66" i="1"/>
  <c r="AA46" i="1"/>
  <c r="AA86" i="1"/>
  <c r="U141" i="1"/>
  <c r="T141" i="1"/>
  <c r="S141" i="1"/>
  <c r="U140" i="1"/>
  <c r="T140" i="1"/>
  <c r="S140" i="1"/>
  <c r="U139" i="1"/>
  <c r="T139" i="1"/>
  <c r="S139" i="1"/>
  <c r="U137" i="1"/>
  <c r="T137" i="1"/>
  <c r="S137" i="1"/>
  <c r="U136" i="1"/>
  <c r="T136" i="1"/>
  <c r="S136" i="1"/>
  <c r="U135" i="1"/>
  <c r="T135" i="1"/>
  <c r="S135" i="1"/>
  <c r="U133" i="1"/>
  <c r="T133" i="1"/>
  <c r="S133" i="1"/>
  <c r="U132" i="1"/>
  <c r="T132" i="1"/>
  <c r="S132" i="1"/>
  <c r="U131" i="1"/>
  <c r="T131" i="1"/>
  <c r="S131" i="1"/>
  <c r="V131" i="1" s="1"/>
  <c r="U129" i="1"/>
  <c r="T129" i="1"/>
  <c r="S129" i="1"/>
  <c r="U128" i="1"/>
  <c r="T128" i="1"/>
  <c r="S128" i="1"/>
  <c r="U127" i="1"/>
  <c r="T127" i="1"/>
  <c r="S127" i="1"/>
  <c r="S130" i="1" s="1"/>
  <c r="U125" i="1"/>
  <c r="T125" i="1"/>
  <c r="S125" i="1"/>
  <c r="U124" i="1"/>
  <c r="T124" i="1"/>
  <c r="S124" i="1"/>
  <c r="U123" i="1"/>
  <c r="T123" i="1"/>
  <c r="S123" i="1"/>
  <c r="U121" i="1"/>
  <c r="T121" i="1"/>
  <c r="S121" i="1"/>
  <c r="U120" i="1"/>
  <c r="T120" i="1"/>
  <c r="S120" i="1"/>
  <c r="U119" i="1"/>
  <c r="T119" i="1"/>
  <c r="S119" i="1"/>
  <c r="V119" i="1" s="1"/>
  <c r="U117" i="1"/>
  <c r="T117" i="1"/>
  <c r="S117" i="1"/>
  <c r="U116" i="1"/>
  <c r="T116" i="1"/>
  <c r="S116" i="1"/>
  <c r="U115" i="1"/>
  <c r="T115" i="1"/>
  <c r="S115" i="1"/>
  <c r="U113" i="1"/>
  <c r="T113" i="1"/>
  <c r="S113" i="1"/>
  <c r="U112" i="1"/>
  <c r="T112" i="1"/>
  <c r="S112" i="1"/>
  <c r="V112" i="1" s="1"/>
  <c r="U111" i="1"/>
  <c r="T111" i="1"/>
  <c r="S111" i="1"/>
  <c r="U109" i="1"/>
  <c r="T109" i="1"/>
  <c r="S109" i="1"/>
  <c r="V109" i="1" s="1"/>
  <c r="U108" i="1"/>
  <c r="T108" i="1"/>
  <c r="S108" i="1"/>
  <c r="U107" i="1"/>
  <c r="T107" i="1"/>
  <c r="S107" i="1"/>
  <c r="V107" i="1" s="1"/>
  <c r="U105" i="1"/>
  <c r="T105" i="1"/>
  <c r="S105" i="1"/>
  <c r="U104" i="1"/>
  <c r="T104" i="1"/>
  <c r="S104" i="1"/>
  <c r="U103" i="1"/>
  <c r="T103" i="1"/>
  <c r="S103" i="1"/>
  <c r="U101" i="1"/>
  <c r="T101" i="1"/>
  <c r="S101" i="1"/>
  <c r="U100" i="1"/>
  <c r="T100" i="1"/>
  <c r="S100" i="1"/>
  <c r="U99" i="1"/>
  <c r="T99" i="1"/>
  <c r="T102" i="1" s="1"/>
  <c r="S99" i="1"/>
  <c r="S102" i="1" s="1"/>
  <c r="U97" i="1"/>
  <c r="T97" i="1"/>
  <c r="S97" i="1"/>
  <c r="U96" i="1"/>
  <c r="T96" i="1"/>
  <c r="S96" i="1"/>
  <c r="U95" i="1"/>
  <c r="T95" i="1"/>
  <c r="S95" i="1"/>
  <c r="U93" i="1"/>
  <c r="T93" i="1"/>
  <c r="S93" i="1"/>
  <c r="U92" i="1"/>
  <c r="T92" i="1"/>
  <c r="S92" i="1"/>
  <c r="U91" i="1"/>
  <c r="T91" i="1"/>
  <c r="S91" i="1"/>
  <c r="U89" i="1"/>
  <c r="T89" i="1"/>
  <c r="S89" i="1"/>
  <c r="U88" i="1"/>
  <c r="T88" i="1"/>
  <c r="S88" i="1"/>
  <c r="U87" i="1"/>
  <c r="T87" i="1"/>
  <c r="S87" i="1"/>
  <c r="V87" i="1" s="1"/>
  <c r="U85" i="1"/>
  <c r="T85" i="1"/>
  <c r="S85" i="1"/>
  <c r="U84" i="1"/>
  <c r="T84" i="1"/>
  <c r="S84" i="1"/>
  <c r="U83" i="1"/>
  <c r="T83" i="1"/>
  <c r="S83" i="1"/>
  <c r="V83" i="1" s="1"/>
  <c r="U81" i="1"/>
  <c r="T81" i="1"/>
  <c r="S81" i="1"/>
  <c r="U80" i="1"/>
  <c r="T80" i="1"/>
  <c r="S80" i="1"/>
  <c r="U79" i="1"/>
  <c r="T79" i="1"/>
  <c r="S79" i="1"/>
  <c r="V79" i="1" s="1"/>
  <c r="U77" i="1"/>
  <c r="T77" i="1"/>
  <c r="S77" i="1"/>
  <c r="U76" i="1"/>
  <c r="T76" i="1"/>
  <c r="S76" i="1"/>
  <c r="V76" i="1" s="1"/>
  <c r="U75" i="1"/>
  <c r="T75" i="1"/>
  <c r="S75" i="1"/>
  <c r="U73" i="1"/>
  <c r="T73" i="1"/>
  <c r="S73" i="1"/>
  <c r="U72" i="1"/>
  <c r="T72" i="1"/>
  <c r="S72" i="1"/>
  <c r="V72" i="1" s="1"/>
  <c r="U71" i="1"/>
  <c r="T71" i="1"/>
  <c r="S71" i="1"/>
  <c r="U69" i="1"/>
  <c r="T69" i="1"/>
  <c r="S69" i="1"/>
  <c r="U68" i="1"/>
  <c r="T68" i="1"/>
  <c r="S68" i="1"/>
  <c r="U67" i="1"/>
  <c r="T67" i="1"/>
  <c r="S67" i="1"/>
  <c r="U65" i="1"/>
  <c r="T65" i="1"/>
  <c r="S65" i="1"/>
  <c r="U64" i="1"/>
  <c r="T64" i="1"/>
  <c r="S64" i="1"/>
  <c r="U63" i="1"/>
  <c r="T63" i="1"/>
  <c r="S63" i="1"/>
  <c r="U61" i="1"/>
  <c r="T61" i="1"/>
  <c r="S61" i="1"/>
  <c r="U60" i="1"/>
  <c r="T60" i="1"/>
  <c r="S60" i="1"/>
  <c r="U59" i="1"/>
  <c r="T59" i="1"/>
  <c r="S59" i="1"/>
  <c r="U57" i="1"/>
  <c r="T57" i="1"/>
  <c r="S57" i="1"/>
  <c r="U56" i="1"/>
  <c r="T56" i="1"/>
  <c r="S56" i="1"/>
  <c r="U55" i="1"/>
  <c r="T55" i="1"/>
  <c r="T58" i="1" s="1"/>
  <c r="S55" i="1"/>
  <c r="U53" i="1"/>
  <c r="T53" i="1"/>
  <c r="S53" i="1"/>
  <c r="U52" i="1"/>
  <c r="T52" i="1"/>
  <c r="S52" i="1"/>
  <c r="U51" i="1"/>
  <c r="T51" i="1"/>
  <c r="S51" i="1"/>
  <c r="U49" i="1"/>
  <c r="T49" i="1"/>
  <c r="S49" i="1"/>
  <c r="U48" i="1"/>
  <c r="T48" i="1"/>
  <c r="S48" i="1"/>
  <c r="U47" i="1"/>
  <c r="T47" i="1"/>
  <c r="T50" i="1" s="1"/>
  <c r="S47" i="1"/>
  <c r="U45" i="1"/>
  <c r="T45" i="1"/>
  <c r="S45" i="1"/>
  <c r="U44" i="1"/>
  <c r="T44" i="1"/>
  <c r="S44" i="1"/>
  <c r="U43" i="1"/>
  <c r="T43" i="1"/>
  <c r="S43" i="1"/>
  <c r="U41" i="1"/>
  <c r="T41" i="1"/>
  <c r="S41" i="1"/>
  <c r="U40" i="1"/>
  <c r="T40" i="1"/>
  <c r="S40" i="1"/>
  <c r="V40" i="1" s="1"/>
  <c r="U39" i="1"/>
  <c r="T39" i="1"/>
  <c r="S39" i="1"/>
  <c r="U37" i="1"/>
  <c r="T37" i="1"/>
  <c r="S37" i="1"/>
  <c r="U36" i="1"/>
  <c r="T36" i="1"/>
  <c r="S36" i="1"/>
  <c r="U35" i="1"/>
  <c r="T35" i="1"/>
  <c r="S35" i="1"/>
  <c r="U33" i="1"/>
  <c r="T33" i="1"/>
  <c r="S33" i="1"/>
  <c r="U32" i="1"/>
  <c r="T32" i="1"/>
  <c r="S32" i="1"/>
  <c r="U31" i="1"/>
  <c r="T31" i="1"/>
  <c r="S31" i="1"/>
  <c r="U29" i="1"/>
  <c r="T29" i="1"/>
  <c r="S29" i="1"/>
  <c r="U28" i="1"/>
  <c r="T28" i="1"/>
  <c r="S28" i="1"/>
  <c r="U27" i="1"/>
  <c r="T27" i="1"/>
  <c r="S27" i="1"/>
  <c r="U25" i="1"/>
  <c r="T25" i="1"/>
  <c r="S25" i="1"/>
  <c r="U24" i="1"/>
  <c r="T24" i="1"/>
  <c r="S24" i="1"/>
  <c r="U23" i="1"/>
  <c r="T23" i="1"/>
  <c r="S23" i="1"/>
  <c r="U21" i="1"/>
  <c r="T21" i="1"/>
  <c r="S21" i="1"/>
  <c r="U20" i="1"/>
  <c r="T20" i="1"/>
  <c r="S20" i="1"/>
  <c r="U19" i="1"/>
  <c r="T19" i="1"/>
  <c r="S19" i="1"/>
  <c r="U17" i="1"/>
  <c r="T17" i="1"/>
  <c r="S17" i="1"/>
  <c r="U16" i="1"/>
  <c r="T16" i="1"/>
  <c r="S16" i="1"/>
  <c r="U15" i="1"/>
  <c r="T15" i="1"/>
  <c r="S15" i="1"/>
  <c r="U13" i="1"/>
  <c r="T13" i="1"/>
  <c r="S13" i="1"/>
  <c r="U12" i="1"/>
  <c r="T12" i="1"/>
  <c r="S12" i="1"/>
  <c r="U11" i="1"/>
  <c r="T11" i="1"/>
  <c r="S11" i="1"/>
  <c r="U7" i="1"/>
  <c r="T7" i="1"/>
  <c r="S7" i="1"/>
  <c r="U6" i="1"/>
  <c r="T6" i="1"/>
  <c r="S6" i="1"/>
  <c r="V5" i="1"/>
  <c r="V4" i="1"/>
  <c r="V3" i="1"/>
  <c r="O9" i="1" l="1"/>
  <c r="O10" i="1" s="1"/>
  <c r="L10" i="1"/>
  <c r="J10" i="1"/>
  <c r="T42" i="1"/>
  <c r="T106" i="1"/>
  <c r="N9" i="1"/>
  <c r="P10" i="1"/>
  <c r="T98" i="1"/>
  <c r="S42" i="1"/>
  <c r="S106" i="1"/>
  <c r="U42" i="1"/>
  <c r="S50" i="1"/>
  <c r="T78" i="1"/>
  <c r="V32" i="1"/>
  <c r="S110" i="1"/>
  <c r="U102" i="1"/>
  <c r="U74" i="1"/>
  <c r="S54" i="1"/>
  <c r="T54" i="1"/>
  <c r="T46" i="1"/>
  <c r="T74" i="1"/>
  <c r="V59" i="1"/>
  <c r="V80" i="1"/>
  <c r="U34" i="1"/>
  <c r="S70" i="1"/>
  <c r="V135" i="1"/>
  <c r="V56" i="1"/>
  <c r="S66" i="1"/>
  <c r="S90" i="1"/>
  <c r="S142" i="1"/>
  <c r="S86" i="1"/>
  <c r="S138" i="1"/>
  <c r="S38" i="1"/>
  <c r="V67" i="1"/>
  <c r="V41" i="1"/>
  <c r="T94" i="1"/>
  <c r="S134" i="1"/>
  <c r="S58" i="1"/>
  <c r="V49" i="1"/>
  <c r="T82" i="1"/>
  <c r="V92" i="1"/>
  <c r="V123" i="1"/>
  <c r="V127" i="1"/>
  <c r="V71" i="1"/>
  <c r="S82" i="1"/>
  <c r="V115" i="1"/>
  <c r="V139" i="1"/>
  <c r="V105" i="1"/>
  <c r="V28" i="1"/>
  <c r="V88" i="1"/>
  <c r="V108" i="1"/>
  <c r="V110" i="1" s="1"/>
  <c r="V47" i="1"/>
  <c r="V75" i="1"/>
  <c r="V81" i="1"/>
  <c r="V101" i="1"/>
  <c r="V132" i="1"/>
  <c r="U54" i="1"/>
  <c r="V48" i="1"/>
  <c r="S94" i="1"/>
  <c r="T110" i="1"/>
  <c r="V31" i="1"/>
  <c r="U110" i="1"/>
  <c r="S118" i="1"/>
  <c r="V52" i="1"/>
  <c r="S78" i="1"/>
  <c r="S98" i="1"/>
  <c r="V111" i="1"/>
  <c r="S126" i="1"/>
  <c r="V39" i="1"/>
  <c r="V42" i="1" s="1"/>
  <c r="V53" i="1"/>
  <c r="V82" i="1"/>
  <c r="V44" i="1"/>
  <c r="V96" i="1"/>
  <c r="U106" i="1"/>
  <c r="S46" i="1"/>
  <c r="V35" i="1"/>
  <c r="V73" i="1"/>
  <c r="U82" i="1"/>
  <c r="S114" i="1"/>
  <c r="V100" i="1"/>
  <c r="V97" i="1"/>
  <c r="V104" i="1"/>
  <c r="S122" i="1"/>
  <c r="V141" i="1"/>
  <c r="U142" i="1"/>
  <c r="T142" i="1"/>
  <c r="V140" i="1"/>
  <c r="T138" i="1"/>
  <c r="V137" i="1"/>
  <c r="V136" i="1"/>
  <c r="U138" i="1"/>
  <c r="T134" i="1"/>
  <c r="U134" i="1"/>
  <c r="V133" i="1"/>
  <c r="V129" i="1"/>
  <c r="U130" i="1"/>
  <c r="T130" i="1"/>
  <c r="V128" i="1"/>
  <c r="T126" i="1"/>
  <c r="V125" i="1"/>
  <c r="V124" i="1"/>
  <c r="U126" i="1"/>
  <c r="V121" i="1"/>
  <c r="U122" i="1"/>
  <c r="T122" i="1"/>
  <c r="V120" i="1"/>
  <c r="V117" i="1"/>
  <c r="U118" i="1"/>
  <c r="T118" i="1"/>
  <c r="V116" i="1"/>
  <c r="T114" i="1"/>
  <c r="U114" i="1"/>
  <c r="V113" i="1"/>
  <c r="V103" i="1"/>
  <c r="V99" i="1"/>
  <c r="U98" i="1"/>
  <c r="V95" i="1"/>
  <c r="V93" i="1"/>
  <c r="U94" i="1"/>
  <c r="V91" i="1"/>
  <c r="U90" i="1"/>
  <c r="T90" i="1"/>
  <c r="V89" i="1"/>
  <c r="V85" i="1"/>
  <c r="U86" i="1"/>
  <c r="T86" i="1"/>
  <c r="V84" i="1"/>
  <c r="U78" i="1"/>
  <c r="V77" i="1"/>
  <c r="S74" i="1"/>
  <c r="T70" i="1"/>
  <c r="V69" i="1"/>
  <c r="V68" i="1"/>
  <c r="U70" i="1"/>
  <c r="U66" i="1"/>
  <c r="T66" i="1"/>
  <c r="V65" i="1"/>
  <c r="V64" i="1"/>
  <c r="V63" i="1"/>
  <c r="V61" i="1"/>
  <c r="U62" i="1"/>
  <c r="V60" i="1"/>
  <c r="T62" i="1"/>
  <c r="S62" i="1"/>
  <c r="U58" i="1"/>
  <c r="V57" i="1"/>
  <c r="V55" i="1"/>
  <c r="V51" i="1"/>
  <c r="U50" i="1"/>
  <c r="U46" i="1"/>
  <c r="V45" i="1"/>
  <c r="V43" i="1"/>
  <c r="V37" i="1"/>
  <c r="U38" i="1"/>
  <c r="T38" i="1"/>
  <c r="V36" i="1"/>
  <c r="V33" i="1"/>
  <c r="T34" i="1"/>
  <c r="S34" i="1"/>
  <c r="U30" i="1"/>
  <c r="S30" i="1"/>
  <c r="T22" i="1"/>
  <c r="T30" i="1"/>
  <c r="U14" i="1"/>
  <c r="V13" i="1"/>
  <c r="V23" i="1"/>
  <c r="V29" i="1"/>
  <c r="V15" i="1"/>
  <c r="V12" i="1"/>
  <c r="V6" i="1"/>
  <c r="S22" i="1"/>
  <c r="V21" i="1"/>
  <c r="V27" i="1"/>
  <c r="V16" i="1"/>
  <c r="S18" i="1"/>
  <c r="V7" i="1"/>
  <c r="V11" i="1"/>
  <c r="S14" i="1"/>
  <c r="T18" i="1"/>
  <c r="U22" i="1"/>
  <c r="U26" i="1"/>
  <c r="V25" i="1"/>
  <c r="S26" i="1"/>
  <c r="V20" i="1"/>
  <c r="T26" i="1"/>
  <c r="T14" i="1"/>
  <c r="U18" i="1"/>
  <c r="V17" i="1"/>
  <c r="V24" i="1"/>
  <c r="V19" i="1"/>
  <c r="P9" i="1" l="1"/>
  <c r="Q9" i="1" s="1"/>
  <c r="Q10" i="1" s="1"/>
  <c r="N10" i="1"/>
  <c r="V34" i="1"/>
  <c r="V74" i="1"/>
  <c r="V98" i="1"/>
  <c r="V50" i="1"/>
  <c r="V102" i="1"/>
  <c r="V78" i="1"/>
  <c r="V106" i="1"/>
  <c r="V90" i="1"/>
  <c r="V114" i="1"/>
  <c r="V54" i="1"/>
  <c r="V134" i="1"/>
  <c r="V30" i="1"/>
  <c r="V142" i="1"/>
  <c r="V138" i="1"/>
  <c r="V130" i="1"/>
  <c r="V126" i="1"/>
  <c r="V122" i="1"/>
  <c r="V118" i="1"/>
  <c r="V94" i="1"/>
  <c r="V86" i="1"/>
  <c r="V70" i="1"/>
  <c r="V66" i="1"/>
  <c r="V62" i="1"/>
  <c r="V58" i="1"/>
  <c r="V46" i="1"/>
  <c r="V38" i="1"/>
  <c r="V22" i="1"/>
  <c r="V26" i="1"/>
  <c r="V14" i="1"/>
  <c r="V18" i="1"/>
  <c r="S8" i="1" l="1"/>
  <c r="U8" i="1"/>
  <c r="T9" i="1" l="1"/>
  <c r="T8" i="1"/>
  <c r="S9" i="1"/>
  <c r="T10" i="1" l="1"/>
  <c r="U9" i="1"/>
  <c r="S10" i="1"/>
  <c r="V8" i="1"/>
  <c r="X8" i="1" l="1"/>
  <c r="U10" i="1"/>
  <c r="V9" i="1"/>
  <c r="X9" i="1" s="1"/>
  <c r="X10" i="1" l="1"/>
  <c r="Y8" i="1"/>
  <c r="Y9" i="1"/>
  <c r="Z9" i="1" s="1"/>
  <c r="V10" i="1"/>
  <c r="AA9" i="1" l="1"/>
  <c r="Y10" i="1"/>
  <c r="Z8" i="1"/>
  <c r="Z10" i="1" s="1"/>
  <c r="AA8" i="1" l="1"/>
  <c r="AA10" i="1" s="1"/>
</calcChain>
</file>

<file path=xl/sharedStrings.xml><?xml version="1.0" encoding="utf-8"?>
<sst xmlns="http://schemas.openxmlformats.org/spreadsheetml/2006/main" count="220" uniqueCount="53">
  <si>
    <t>STATE</t>
  </si>
  <si>
    <t>Andhra Pradesh</t>
  </si>
  <si>
    <t>CATEGORY</t>
  </si>
  <si>
    <t>NOMINATION FIELD</t>
  </si>
  <si>
    <t>NOMINATION REJECTED</t>
  </si>
  <si>
    <t>NOMINATION WITHDRAWN</t>
  </si>
  <si>
    <t>CONTESTING CANDIDATES</t>
  </si>
  <si>
    <t>DEPOSIT FORFIETED</t>
  </si>
  <si>
    <t xml:space="preserve">CATEGORY </t>
  </si>
  <si>
    <t>NO. OF SEATS</t>
  </si>
  <si>
    <t>MALE</t>
  </si>
  <si>
    <t>FEMALE</t>
  </si>
  <si>
    <t>THIRD GENDER</t>
  </si>
  <si>
    <t>TOTAL</t>
  </si>
  <si>
    <t xml:space="preserve">MALE </t>
  </si>
  <si>
    <t>GEN</t>
  </si>
  <si>
    <t>SC</t>
  </si>
  <si>
    <t>ST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</si>
  <si>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</si>
  <si>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</si>
  <si>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</si>
  <si>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</si>
  <si>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</si>
  <si>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</si>
  <si>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</si>
  <si>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</si>
  <si>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</si>
  <si>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</si>
  <si>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</si>
  <si>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</si>
  <si>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</si>
  <si>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</si>
  <si>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</si>
  <si>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</si>
  <si>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</si>
  <si>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</si>
  <si>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</si>
  <si>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</si>
  <si>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</si>
  <si>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</si>
  <si>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</si>
  <si>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</si>
  <si>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</si>
  <si>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</si>
  <si>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</si>
  <si>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</si>
  <si>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</si>
  <si>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</si>
  <si>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</si>
  <si>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</si>
  <si>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</si>
  <si>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</si>
  <si>
    <t xml:space="preserve">G.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</si>
</sst>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Font="1"/>
    <xf numFmtId="0" fontId="0" fillId="0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/>
    <xf numFmtId="0" fontId="0" fillId="2" borderId="0" xfId="0" applyFill="1"/>
    <xf numFmtId="0" fontId="0" fillId="3" borderId="0" xfId="0" applyNumberFormat="1" applyFill="1" applyAlignment="1" applyProtection="1"/>
    <xf numFmtId="0" fontId="0" fillId="3" borderId="0" xfId="0" applyFill="1"/>
    <xf numFmtId="0" fontId="0" fillId="2" borderId="0" xfId="0" applyNumberFormat="1" applyFill="1" applyAlignment="1" applyProtection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3"/>
  <sheetViews>
    <sheetView tabSelected="1" zoomScale="120" zoomScaleNormal="120" workbookViewId="0">
      <pane xSplit="1" ySplit="2" topLeftCell="J122" activePane="bottomRight" state="frozen"/>
      <selection pane="topRight" activeCell="B1" sqref="B1"/>
      <selection pane="bottomLeft" activeCell="A3" sqref="A3"/>
      <selection pane="bottomRight" activeCell="M12" sqref="M12"/>
    </sheetView>
  </sheetViews>
  <sheetFormatPr defaultRowHeight="14.4" x14ac:dyDescent="0.3"/>
  <cols>
    <col min="1" max="1" width="18.109375" customWidth="1"/>
    <col min="2" max="2" width="10.6640625" bestFit="1" customWidth="1"/>
    <col min="4" max="4" width="10.33203125" customWidth="1"/>
    <col min="6" max="6" width="13.109375" customWidth="1"/>
    <col min="8" max="8" width="5.6640625" customWidth="1"/>
    <col min="13" max="13" width="4.6640625" customWidth="1"/>
    <col min="18" max="18" width="5.109375" customWidth="1"/>
    <col min="19" max="22" width="8.88671875" style="7"/>
    <col min="23" max="23" width="5.33203125" customWidth="1"/>
  </cols>
  <sheetData>
    <row r="1" spans="1:27" s="1" customFormat="1" x14ac:dyDescent="0.3">
      <c r="A1" s="1" t="s">
        <v>0</v>
      </c>
      <c r="B1" s="1" t="s">
        <v>2</v>
      </c>
      <c r="D1" s="5" t="s">
        <v>3</v>
      </c>
      <c r="E1" s="5"/>
      <c r="F1" s="5"/>
      <c r="G1" s="5"/>
      <c r="I1" s="5" t="s">
        <v>4</v>
      </c>
      <c r="J1" s="5"/>
      <c r="K1" s="5"/>
      <c r="L1" s="5"/>
      <c r="N1" s="5" t="s">
        <v>5</v>
      </c>
      <c r="O1" s="5"/>
      <c r="P1" s="5"/>
      <c r="Q1" s="5"/>
      <c r="S1" s="10" t="s">
        <v>6</v>
      </c>
      <c r="T1" s="10"/>
      <c r="U1" s="10"/>
      <c r="V1" s="10"/>
      <c r="X1" s="5" t="s">
        <v>7</v>
      </c>
      <c r="Y1" s="5"/>
      <c r="Z1" s="5"/>
      <c r="AA1" s="5"/>
    </row>
    <row r="2" spans="1:27" s="1" customFormat="1" x14ac:dyDescent="0.3"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I2" s="1" t="s">
        <v>10</v>
      </c>
      <c r="J2" s="1" t="s">
        <v>11</v>
      </c>
      <c r="K2" s="1" t="s">
        <v>12</v>
      </c>
      <c r="L2" s="1" t="s">
        <v>13</v>
      </c>
      <c r="N2" s="1" t="s">
        <v>10</v>
      </c>
      <c r="O2" s="1" t="s">
        <v>11</v>
      </c>
      <c r="P2" s="1" t="s">
        <v>12</v>
      </c>
      <c r="Q2" s="1" t="s">
        <v>13</v>
      </c>
      <c r="S2" s="6" t="s">
        <v>10</v>
      </c>
      <c r="T2" s="6" t="s">
        <v>11</v>
      </c>
      <c r="U2" s="6" t="s">
        <v>12</v>
      </c>
      <c r="V2" s="6" t="s">
        <v>13</v>
      </c>
      <c r="X2" s="1" t="s">
        <v>14</v>
      </c>
      <c r="Y2" s="1" t="s">
        <v>11</v>
      </c>
      <c r="Z2" s="1" t="s">
        <v>12</v>
      </c>
      <c r="AA2" s="1" t="s">
        <v>13</v>
      </c>
    </row>
    <row r="3" spans="1:27" s="1" customFormat="1" x14ac:dyDescent="0.3">
      <c r="A3" s="1" t="s">
        <v>1</v>
      </c>
      <c r="B3" s="1" t="s">
        <v>15</v>
      </c>
      <c r="C3" s="1">
        <v>32</v>
      </c>
      <c r="D3" s="1">
        <v>576</v>
      </c>
      <c r="E3" s="1">
        <v>60</v>
      </c>
      <c r="F3" s="1">
        <v>0</v>
      </c>
      <c r="G3" s="1">
        <f>SUM(D3:E3:F3)</f>
        <v>636</v>
      </c>
      <c r="I3" s="1">
        <v>68</v>
      </c>
      <c r="J3" s="1">
        <v>14</v>
      </c>
      <c r="K3" s="1">
        <v>0</v>
      </c>
      <c r="L3" s="1">
        <f>SUM(I3:J3:K3)</f>
        <v>82</v>
      </c>
      <c r="N3" s="1">
        <v>60</v>
      </c>
      <c r="O3" s="1">
        <v>16</v>
      </c>
      <c r="P3" s="1">
        <v>0</v>
      </c>
      <c r="Q3" s="1">
        <f>SUM(N3:O3:P3)</f>
        <v>76</v>
      </c>
      <c r="S3" s="6">
        <v>448</v>
      </c>
      <c r="T3" s="6">
        <v>30</v>
      </c>
      <c r="U3" s="6">
        <v>0</v>
      </c>
      <c r="V3" s="6">
        <f>SUM(S3:T3:U3)</f>
        <v>478</v>
      </c>
      <c r="X3" s="1">
        <v>384</v>
      </c>
      <c r="Y3" s="1">
        <v>25</v>
      </c>
      <c r="Z3" s="1">
        <v>0</v>
      </c>
      <c r="AA3" s="1">
        <f>Z3+Y3+X3</f>
        <v>409</v>
      </c>
    </row>
    <row r="4" spans="1:27" s="1" customFormat="1" x14ac:dyDescent="0.3">
      <c r="A4" s="2" t="s">
        <v>1</v>
      </c>
      <c r="B4" s="1" t="s">
        <v>16</v>
      </c>
      <c r="C4" s="1">
        <v>7</v>
      </c>
      <c r="D4" s="1">
        <v>101</v>
      </c>
      <c r="E4" s="1">
        <v>8</v>
      </c>
      <c r="F4" s="1">
        <v>0</v>
      </c>
      <c r="G4" s="1">
        <f>SUM(D4:E4:F4)</f>
        <v>109</v>
      </c>
      <c r="I4" s="1">
        <v>11</v>
      </c>
      <c r="J4" s="1">
        <v>1</v>
      </c>
      <c r="K4" s="1">
        <v>0</v>
      </c>
      <c r="L4" s="1">
        <f>SUM(I4:J4:K4)</f>
        <v>12</v>
      </c>
      <c r="N4" s="1">
        <v>12</v>
      </c>
      <c r="O4" s="1">
        <v>1</v>
      </c>
      <c r="P4" s="1">
        <v>0</v>
      </c>
      <c r="Q4" s="1">
        <f>SUM(N4:O4:P4)</f>
        <v>13</v>
      </c>
      <c r="S4" s="6">
        <v>78</v>
      </c>
      <c r="T4" s="6">
        <v>6</v>
      </c>
      <c r="U4" s="6">
        <v>0</v>
      </c>
      <c r="V4" s="6">
        <f>SUM(S4:T4:U4)</f>
        <v>84</v>
      </c>
      <c r="X4" s="1">
        <v>64</v>
      </c>
      <c r="Y4" s="1">
        <v>5</v>
      </c>
      <c r="Z4" s="1">
        <v>0</v>
      </c>
      <c r="AA4" s="1">
        <f t="shared" ref="AA4:AA6" si="0">Z4+Y4+X4</f>
        <v>69</v>
      </c>
    </row>
    <row r="5" spans="1:27" s="1" customFormat="1" x14ac:dyDescent="0.3">
      <c r="A5" s="2" t="s">
        <v>1</v>
      </c>
      <c r="B5" s="1" t="s">
        <v>17</v>
      </c>
      <c r="C5" s="1">
        <v>3</v>
      </c>
      <c r="D5" s="1">
        <v>38</v>
      </c>
      <c r="E5" s="1">
        <v>8</v>
      </c>
      <c r="F5" s="1">
        <v>0</v>
      </c>
      <c r="G5" s="1">
        <f>SUM(D5:E5:F5)</f>
        <v>46</v>
      </c>
      <c r="I5" s="1">
        <v>4</v>
      </c>
      <c r="J5" s="1">
        <v>1</v>
      </c>
      <c r="K5" s="1">
        <v>0</v>
      </c>
      <c r="L5" s="1">
        <f>SUM(I5:J5:K5)</f>
        <v>5</v>
      </c>
      <c r="N5" s="1">
        <v>5</v>
      </c>
      <c r="O5" s="1">
        <v>0</v>
      </c>
      <c r="P5" s="1">
        <v>0</v>
      </c>
      <c r="Q5" s="1">
        <f>SUM(N5:O5:P5)</f>
        <v>5</v>
      </c>
      <c r="S5" s="6">
        <v>29</v>
      </c>
      <c r="T5" s="6">
        <v>7</v>
      </c>
      <c r="U5" s="6">
        <v>0</v>
      </c>
      <c r="V5" s="6">
        <f>SUM(S5:T5:U5)</f>
        <v>36</v>
      </c>
      <c r="X5" s="1">
        <v>23</v>
      </c>
      <c r="Y5" s="1">
        <v>5</v>
      </c>
      <c r="Z5" s="1">
        <v>0</v>
      </c>
      <c r="AA5" s="1">
        <f t="shared" si="0"/>
        <v>28</v>
      </c>
    </row>
    <row r="6" spans="1:27" s="8" customFormat="1" x14ac:dyDescent="0.3">
      <c r="A6" s="8" t="s">
        <v>1</v>
      </c>
      <c r="B6" s="8" t="s">
        <v>13</v>
      </c>
      <c r="C6" s="8">
        <f>SUM(C3:C4:C5)</f>
        <v>42</v>
      </c>
      <c r="D6" s="8">
        <f>SUM(D3:D4:D5)</f>
        <v>715</v>
      </c>
      <c r="E6" s="8">
        <f>SUM(E3:E4:E5)</f>
        <v>76</v>
      </c>
      <c r="F6" s="8">
        <f>SUM(F3:F4:F5)</f>
        <v>0</v>
      </c>
      <c r="G6" s="8">
        <f>SUM(G3:G4:G5)</f>
        <v>791</v>
      </c>
      <c r="I6" s="8">
        <f>SUM(I3:I4:I5)</f>
        <v>83</v>
      </c>
      <c r="J6" s="8">
        <f>SUM(J3:J4:J5)</f>
        <v>16</v>
      </c>
      <c r="K6" s="8">
        <f>SUM(K3:K4:K5)</f>
        <v>0</v>
      </c>
      <c r="L6" s="8">
        <f>SUM(L3:L4:L5)</f>
        <v>99</v>
      </c>
      <c r="N6" s="8">
        <f>SUM(N3:N4:N5)</f>
        <v>77</v>
      </c>
      <c r="O6" s="8">
        <f>SUM(O3:O4:O5)</f>
        <v>17</v>
      </c>
      <c r="P6" s="8">
        <f>SUM(P3:P4:P5)</f>
        <v>0</v>
      </c>
      <c r="Q6" s="8">
        <f>SUM(Q3:Q4:Q5)</f>
        <v>94</v>
      </c>
      <c r="S6" s="8">
        <f>SUM(S3:S4:S5)</f>
        <v>555</v>
      </c>
      <c r="T6" s="8">
        <f>SUM(T3:T4:T5)</f>
        <v>43</v>
      </c>
      <c r="U6" s="8">
        <f>SUM(U3:U4:U5)</f>
        <v>0</v>
      </c>
      <c r="V6" s="8">
        <f>SUM(V3:V4:V5)</f>
        <v>598</v>
      </c>
      <c r="X6" s="8">
        <f>SUM(X3:X5)</f>
        <v>471</v>
      </c>
      <c r="Y6" s="8">
        <f t="shared" ref="Y6:Z6" si="1">SUM(Y3:Y5)</f>
        <v>35</v>
      </c>
      <c r="Z6" s="8">
        <f t="shared" si="1"/>
        <v>0</v>
      </c>
      <c r="AA6" s="8">
        <f t="shared" si="0"/>
        <v>506</v>
      </c>
    </row>
    <row r="7" spans="1:27" x14ac:dyDescent="0.3">
      <c r="A7" s="1" t="s">
        <v>18</v>
      </c>
      <c r="B7" s="1" t="s">
        <v>15</v>
      </c>
      <c r="C7" s="1">
        <v>2</v>
      </c>
      <c r="D7" s="1">
        <v>11</v>
      </c>
      <c r="E7" s="1">
        <v>0</v>
      </c>
      <c r="F7" s="1">
        <v>0</v>
      </c>
      <c r="G7" s="1">
        <f>SUM(D7:E7:F7)</f>
        <v>11</v>
      </c>
      <c r="H7" s="1"/>
      <c r="I7" s="1">
        <v>0</v>
      </c>
      <c r="J7" s="1">
        <v>0</v>
      </c>
      <c r="K7" s="1">
        <v>0</v>
      </c>
      <c r="L7" s="1">
        <f>SUM(I7:J7:K7)</f>
        <v>0</v>
      </c>
      <c r="M7" s="1"/>
      <c r="N7" s="1">
        <v>0</v>
      </c>
      <c r="O7" s="1">
        <v>0</v>
      </c>
      <c r="P7" s="1">
        <v>0</v>
      </c>
      <c r="Q7" s="1">
        <f>SUM(N7:O7:P7)</f>
        <v>0</v>
      </c>
      <c r="R7" s="1"/>
      <c r="S7" s="6">
        <f>D7-I7-N7</f>
        <v>11</v>
      </c>
      <c r="T7" s="6">
        <f>E7-J7-O7</f>
        <v>0</v>
      </c>
      <c r="U7" s="6">
        <f>F7-K7-P7</f>
        <v>0</v>
      </c>
      <c r="V7" s="6">
        <f>SUM(S7:T7:U7)</f>
        <v>11</v>
      </c>
      <c r="W7" s="1"/>
      <c r="X7" s="1">
        <v>7</v>
      </c>
      <c r="Y7" s="1">
        <v>0</v>
      </c>
      <c r="Z7" s="1">
        <v>0</v>
      </c>
      <c r="AA7" s="1">
        <f>SUM(X7:Y7:Z7)</f>
        <v>7</v>
      </c>
    </row>
    <row r="8" spans="1:27" x14ac:dyDescent="0.3">
      <c r="A8" s="2" t="s">
        <v>18</v>
      </c>
      <c r="B8" s="1" t="s">
        <v>16</v>
      </c>
      <c r="C8" s="1">
        <v>0</v>
      </c>
      <c r="D8" s="1">
        <v>0</v>
      </c>
      <c r="E8" s="1">
        <v>0</v>
      </c>
      <c r="F8" s="1">
        <v>0</v>
      </c>
      <c r="G8" s="1">
        <f>SUM(D8:E8:F8)</f>
        <v>0</v>
      </c>
      <c r="H8" s="1"/>
      <c r="I8" s="1">
        <f>SUM(F8:G8:H8)</f>
        <v>0</v>
      </c>
      <c r="J8" s="1">
        <f>SUM(G8:H8:I8)</f>
        <v>0</v>
      </c>
      <c r="K8" s="1">
        <f>SUM(H8:I8:J8)</f>
        <v>0</v>
      </c>
      <c r="L8" s="1">
        <f>SUM(I8:J8:K8)</f>
        <v>0</v>
      </c>
      <c r="M8" s="1"/>
      <c r="N8" s="1">
        <f>SUM(K8:L8:M8)</f>
        <v>0</v>
      </c>
      <c r="O8" s="1">
        <f>SUM(L8:M8:N8)</f>
        <v>0</v>
      </c>
      <c r="P8" s="1">
        <f>SUM(M8:N8:O8)</f>
        <v>0</v>
      </c>
      <c r="Q8" s="1">
        <f>SUM(N8:O8:P8)</f>
        <v>0</v>
      </c>
      <c r="R8" s="1"/>
      <c r="S8" s="6">
        <f>D8-I8-N8</f>
        <v>0</v>
      </c>
      <c r="T8" s="6">
        <f>E8-J8-O8</f>
        <v>0</v>
      </c>
      <c r="U8" s="6">
        <f>F8-K8-P8</f>
        <v>0</v>
      </c>
      <c r="V8" s="6">
        <f>SUM(S8:T8:U8)</f>
        <v>0</v>
      </c>
      <c r="W8" s="1"/>
      <c r="X8" s="1">
        <f>SUM(U8:V8:W8)</f>
        <v>0</v>
      </c>
      <c r="Y8" s="1">
        <f>SUM(V8:W8:X8)</f>
        <v>0</v>
      </c>
      <c r="Z8" s="1">
        <f>SUM(W8:X8:Y8)</f>
        <v>0</v>
      </c>
      <c r="AA8" s="1">
        <f>SUM(X8:Y8:Z8)</f>
        <v>0</v>
      </c>
    </row>
    <row r="9" spans="1:27" x14ac:dyDescent="0.3">
      <c r="A9" s="2" t="s">
        <v>18</v>
      </c>
      <c r="B9" s="1" t="s">
        <v>17</v>
      </c>
      <c r="C9" s="1">
        <v>0</v>
      </c>
      <c r="D9" s="1">
        <v>0</v>
      </c>
      <c r="E9" s="1">
        <v>0</v>
      </c>
      <c r="F9" s="1">
        <v>0</v>
      </c>
      <c r="G9" s="1">
        <f>SUM(D9:E9:F9)</f>
        <v>0</v>
      </c>
      <c r="H9" s="1"/>
      <c r="I9" s="1">
        <f>SUM(F9:G9:H9)</f>
        <v>0</v>
      </c>
      <c r="J9" s="1">
        <f>SUM(G9:H9:I9)</f>
        <v>0</v>
      </c>
      <c r="K9" s="1">
        <f>SUM(H9:I9:J9)</f>
        <v>0</v>
      </c>
      <c r="L9" s="1">
        <f>SUM(I9:J9:K9)</f>
        <v>0</v>
      </c>
      <c r="M9" s="1"/>
      <c r="N9" s="1">
        <f>SUM(K9:L9:M9)</f>
        <v>0</v>
      </c>
      <c r="O9" s="1">
        <f>SUM(L9:M9:N9)</f>
        <v>0</v>
      </c>
      <c r="P9" s="1">
        <f>SUM(M9:N9:O9)</f>
        <v>0</v>
      </c>
      <c r="Q9" s="1">
        <f>SUM(N9:O9:P9)</f>
        <v>0</v>
      </c>
      <c r="R9" s="1"/>
      <c r="S9" s="6">
        <f>D9-I9-N9</f>
        <v>0</v>
      </c>
      <c r="T9" s="6">
        <f>E9-J9-O9</f>
        <v>0</v>
      </c>
      <c r="U9" s="6">
        <f>F9-K9-P9</f>
        <v>0</v>
      </c>
      <c r="V9" s="6">
        <f>SUM(S9:T9:U9)</f>
        <v>0</v>
      </c>
      <c r="W9" s="1"/>
      <c r="X9" s="1">
        <f>SUM(U9:V9:W9)</f>
        <v>0</v>
      </c>
      <c r="Y9" s="1">
        <f>SUM(V9:W9:X9)</f>
        <v>0</v>
      </c>
      <c r="Z9" s="1">
        <f>SUM(W9:X9:Y9)</f>
        <v>0</v>
      </c>
      <c r="AA9" s="1">
        <f>SUM(X9:Y9:Z9)</f>
        <v>0</v>
      </c>
    </row>
    <row r="10" spans="1:27" s="9" customFormat="1" x14ac:dyDescent="0.3">
      <c r="A10" s="8" t="s">
        <v>18</v>
      </c>
      <c r="B10" s="8" t="s">
        <v>13</v>
      </c>
      <c r="C10" s="8">
        <f>SUM(C7:C8:C9)</f>
        <v>2</v>
      </c>
      <c r="D10" s="8">
        <f>SUM(D7:D8:D9)</f>
        <v>11</v>
      </c>
      <c r="E10" s="8">
        <f>SUM(E7:E8:E9)</f>
        <v>0</v>
      </c>
      <c r="F10" s="8">
        <f>SUM(F7:F8:F9)</f>
        <v>0</v>
      </c>
      <c r="G10" s="8">
        <f>SUM(G7:G8:G9)</f>
        <v>11</v>
      </c>
      <c r="H10" s="8"/>
      <c r="I10" s="8">
        <f>SUM(I7:I8:I9)</f>
        <v>0</v>
      </c>
      <c r="J10" s="8">
        <f>SUM(J7:J8:J9)</f>
        <v>0</v>
      </c>
      <c r="K10" s="8">
        <f>SUM(K7:K8:K9)</f>
        <v>0</v>
      </c>
      <c r="L10" s="8">
        <f>SUM(L7:L8:L9)</f>
        <v>0</v>
      </c>
      <c r="M10" s="8"/>
      <c r="N10" s="8">
        <f>SUM(N7:N8:N9)</f>
        <v>0</v>
      </c>
      <c r="O10" s="8">
        <f>SUM(O7:O8:O9)</f>
        <v>0</v>
      </c>
      <c r="P10" s="8">
        <f>SUM(K7:K8:K9)</f>
        <v>0</v>
      </c>
      <c r="Q10" s="8">
        <f>SUM(Q7:Q8:Q9)</f>
        <v>0</v>
      </c>
      <c r="R10" s="8"/>
      <c r="S10" s="8">
        <f>SUM(S7:S8:S9)</f>
        <v>11</v>
      </c>
      <c r="T10" s="8">
        <f>SUM(T7:T8:T9)</f>
        <v>0</v>
      </c>
      <c r="U10" s="8">
        <f>SUM(U7:U8:U9)</f>
        <v>0</v>
      </c>
      <c r="V10" s="8">
        <f>SUM(V7:V8:V9)</f>
        <v>11</v>
      </c>
      <c r="W10" s="8"/>
      <c r="X10" s="8">
        <f>SUM(X7:X8:X9)</f>
        <v>7</v>
      </c>
      <c r="Y10" s="8">
        <f>SUM(Y7:Y8:Y9)</f>
        <v>0</v>
      </c>
      <c r="Z10" s="8">
        <f>SUM(Z7:Z8:Z9)</f>
        <v>0</v>
      </c>
      <c r="AA10" s="8">
        <f>SUM(AA7:AA8:AA9)</f>
        <v>7</v>
      </c>
    </row>
    <row r="11" spans="1:27" x14ac:dyDescent="0.3">
      <c r="A11" s="1" t="s">
        <v>19</v>
      </c>
      <c r="B11" s="1" t="s">
        <v>15</v>
      </c>
      <c r="C11" s="1">
        <v>11</v>
      </c>
      <c r="D11" s="1">
        <v>133</v>
      </c>
      <c r="E11" s="1">
        <v>17</v>
      </c>
      <c r="F11" s="1">
        <v>0</v>
      </c>
      <c r="G11" s="1">
        <f>SUM(D11:E11:F11)</f>
        <v>150</v>
      </c>
      <c r="H11" s="1"/>
      <c r="I11" s="1">
        <v>6</v>
      </c>
      <c r="J11" s="1">
        <v>1</v>
      </c>
      <c r="K11" s="1">
        <v>0</v>
      </c>
      <c r="L11" s="1">
        <f>SUM(I11:J11:K11)</f>
        <v>7</v>
      </c>
      <c r="M11" s="1"/>
      <c r="N11" s="1">
        <v>6</v>
      </c>
      <c r="O11" s="1">
        <v>1</v>
      </c>
      <c r="P11" s="1">
        <v>0</v>
      </c>
      <c r="Q11" s="1">
        <f>SUM(N11:O11:P11)</f>
        <v>7</v>
      </c>
      <c r="R11" s="1"/>
      <c r="S11" s="6">
        <f>D11-I11-N11</f>
        <v>121</v>
      </c>
      <c r="T11" s="6">
        <f>E11-J11-O11</f>
        <v>15</v>
      </c>
      <c r="U11" s="6">
        <f>F11-K11-P11</f>
        <v>0</v>
      </c>
      <c r="V11" s="6">
        <f>SUM(S11:T11:U11)</f>
        <v>136</v>
      </c>
      <c r="W11" s="1"/>
      <c r="X11" s="1">
        <v>99</v>
      </c>
      <c r="Y11" s="1">
        <v>11</v>
      </c>
      <c r="Z11" s="1">
        <v>0</v>
      </c>
      <c r="AA11" s="1">
        <f>SUM(X11:Y11:Z11)</f>
        <v>110</v>
      </c>
    </row>
    <row r="12" spans="1:27" x14ac:dyDescent="0.3">
      <c r="A12" s="2" t="s">
        <v>19</v>
      </c>
      <c r="B12" s="1" t="s">
        <v>16</v>
      </c>
      <c r="C12" s="1">
        <v>1</v>
      </c>
      <c r="D12" s="1">
        <v>16</v>
      </c>
      <c r="E12" s="1">
        <v>0</v>
      </c>
      <c r="F12" s="1">
        <v>0</v>
      </c>
      <c r="G12" s="1">
        <f>SUM(D12:E12:F12)</f>
        <v>16</v>
      </c>
      <c r="H12" s="1"/>
      <c r="I12" s="1">
        <v>0</v>
      </c>
      <c r="J12" s="1">
        <v>0</v>
      </c>
      <c r="K12" s="1">
        <v>0</v>
      </c>
      <c r="L12" s="1">
        <f>SUM(I12:J12:K12)</f>
        <v>0</v>
      </c>
      <c r="M12" s="1"/>
      <c r="N12" s="1">
        <v>1</v>
      </c>
      <c r="O12" s="1">
        <v>0</v>
      </c>
      <c r="P12" s="1">
        <v>0</v>
      </c>
      <c r="Q12" s="1">
        <f>SUM(N12:O12:P12)</f>
        <v>1</v>
      </c>
      <c r="R12" s="1"/>
      <c r="S12" s="6">
        <f>D12-I12-N12</f>
        <v>15</v>
      </c>
      <c r="T12" s="6">
        <f>E12-J12-O12</f>
        <v>0</v>
      </c>
      <c r="U12" s="6">
        <f>F12-K12-P12</f>
        <v>0</v>
      </c>
      <c r="V12" s="6">
        <f>SUM(S12:T12:U12)</f>
        <v>15</v>
      </c>
      <c r="W12" s="1"/>
      <c r="X12" s="1">
        <v>12</v>
      </c>
      <c r="Y12" s="1">
        <v>0</v>
      </c>
      <c r="Z12" s="1">
        <v>0</v>
      </c>
      <c r="AA12" s="1">
        <f>SUM(X12:Y12:Z12)</f>
        <v>12</v>
      </c>
    </row>
    <row r="13" spans="1:27" x14ac:dyDescent="0.3">
      <c r="A13" s="2" t="s">
        <v>19</v>
      </c>
      <c r="B13" s="1" t="s">
        <v>17</v>
      </c>
      <c r="C13" s="1">
        <v>2</v>
      </c>
      <c r="D13" s="1">
        <v>15</v>
      </c>
      <c r="E13" s="1">
        <v>1</v>
      </c>
      <c r="F13" s="1">
        <v>0</v>
      </c>
      <c r="G13" s="1">
        <f>SUM(D13:E13:F13)</f>
        <v>16</v>
      </c>
      <c r="H13" s="1"/>
      <c r="I13" s="1">
        <v>3</v>
      </c>
      <c r="J13" s="1">
        <v>0</v>
      </c>
      <c r="K13" s="1">
        <v>0</v>
      </c>
      <c r="L13" s="1">
        <f>SUM(I13:J13:K13)</f>
        <v>3</v>
      </c>
      <c r="M13" s="1"/>
      <c r="N13" s="1">
        <v>2</v>
      </c>
      <c r="O13" s="1">
        <v>0</v>
      </c>
      <c r="P13" s="1">
        <v>0</v>
      </c>
      <c r="Q13" s="1">
        <f>SUM(N13:O13:P13)</f>
        <v>2</v>
      </c>
      <c r="R13" s="1"/>
      <c r="S13" s="6">
        <f>D13-I13-N13</f>
        <v>10</v>
      </c>
      <c r="T13" s="6">
        <f>E13-J13-O13</f>
        <v>1</v>
      </c>
      <c r="U13" s="6">
        <f>F13-K13-P13</f>
        <v>0</v>
      </c>
      <c r="V13" s="6">
        <f>SUM(S13:T13:U13)</f>
        <v>11</v>
      </c>
      <c r="W13" s="1"/>
      <c r="X13" s="1">
        <v>4</v>
      </c>
      <c r="Y13" s="1">
        <v>1</v>
      </c>
      <c r="Z13" s="1">
        <v>0</v>
      </c>
      <c r="AA13" s="1">
        <f>SUM(X13:Y13:Z13)</f>
        <v>5</v>
      </c>
    </row>
    <row r="14" spans="1:27" s="9" customFormat="1" x14ac:dyDescent="0.3">
      <c r="A14" s="8" t="s">
        <v>19</v>
      </c>
      <c r="B14" s="8" t="s">
        <v>13</v>
      </c>
      <c r="C14" s="8">
        <f>SUM(C11:C12:C13)</f>
        <v>14</v>
      </c>
      <c r="D14" s="8">
        <f>SUM(D11:D12:D13)</f>
        <v>164</v>
      </c>
      <c r="E14" s="8">
        <f>SUM(E11:E12:E13)</f>
        <v>18</v>
      </c>
      <c r="F14" s="8">
        <f>SUM(F11:F12:F13)</f>
        <v>0</v>
      </c>
      <c r="G14" s="8">
        <f>SUM(G11:G12:G13)</f>
        <v>182</v>
      </c>
      <c r="H14" s="8"/>
      <c r="I14" s="8">
        <f>SUM(I11:I12:I13)</f>
        <v>9</v>
      </c>
      <c r="J14" s="8">
        <f>SUM(J11:J12:J13)</f>
        <v>1</v>
      </c>
      <c r="K14" s="8">
        <f>SUM(K11:K12:K13)</f>
        <v>0</v>
      </c>
      <c r="L14" s="8">
        <f>SUM(L11:L12:L13)</f>
        <v>10</v>
      </c>
      <c r="M14" s="8"/>
      <c r="N14" s="8">
        <f>SUM(N11:N12:N13)</f>
        <v>9</v>
      </c>
      <c r="O14" s="8">
        <f>SUM(O11:O12:O13)</f>
        <v>1</v>
      </c>
      <c r="P14" s="8">
        <f>SUM(K11:K12:K13)</f>
        <v>0</v>
      </c>
      <c r="Q14" s="8">
        <f>SUM(Q11:Q12:Q13)</f>
        <v>10</v>
      </c>
      <c r="R14" s="8"/>
      <c r="S14" s="8">
        <f>SUM(S11:S12:S13)</f>
        <v>146</v>
      </c>
      <c r="T14" s="8">
        <f>SUM(T11:T12:T13)</f>
        <v>16</v>
      </c>
      <c r="U14" s="8">
        <f>SUM(U11:U12:U13)</f>
        <v>0</v>
      </c>
      <c r="V14" s="8">
        <f>SUM(V11:V12:V13)</f>
        <v>162</v>
      </c>
      <c r="W14" s="8"/>
      <c r="X14" s="8">
        <f>SUM(X11:X12:X13)</f>
        <v>115</v>
      </c>
      <c r="Y14" s="8">
        <f>SUM(Y11:Y12:Y13)</f>
        <v>12</v>
      </c>
      <c r="Z14" s="8">
        <f>SUM(Z11:Z12:Z13)</f>
        <v>0</v>
      </c>
      <c r="AA14" s="8">
        <f>SUM(AA11:AA12:AA13)</f>
        <v>127</v>
      </c>
    </row>
    <row r="15" spans="1:27" x14ac:dyDescent="0.3">
      <c r="A15" s="1" t="s">
        <v>20</v>
      </c>
      <c r="B15" s="1" t="s">
        <v>15</v>
      </c>
      <c r="C15" s="1">
        <v>33</v>
      </c>
      <c r="D15" s="1">
        <v>560</v>
      </c>
      <c r="E15" s="1">
        <v>44</v>
      </c>
      <c r="F15" s="1">
        <v>0</v>
      </c>
      <c r="G15" s="1">
        <f>SUM(D15:E15:F15)</f>
        <v>604</v>
      </c>
      <c r="H15" s="1"/>
      <c r="I15" s="1">
        <v>65</v>
      </c>
      <c r="J15" s="1">
        <v>4</v>
      </c>
      <c r="K15" s="1">
        <v>0</v>
      </c>
      <c r="L15" s="1">
        <f>SUM(I15:J15:K15)</f>
        <v>69</v>
      </c>
      <c r="M15" s="1"/>
      <c r="N15" s="1">
        <v>18</v>
      </c>
      <c r="O15" s="1">
        <v>1</v>
      </c>
      <c r="P15" s="1">
        <v>0</v>
      </c>
      <c r="Q15" s="1">
        <f>SUM(N15:O15:P15)</f>
        <v>19</v>
      </c>
      <c r="R15" s="1"/>
      <c r="S15" s="6">
        <f>D15-I15-N15</f>
        <v>477</v>
      </c>
      <c r="T15" s="6">
        <f>E15-J15-O15</f>
        <v>39</v>
      </c>
      <c r="U15" s="6">
        <f>F15-K15-P15</f>
        <v>0</v>
      </c>
      <c r="V15" s="6">
        <f>SUM(S15:T15:U15)</f>
        <v>516</v>
      </c>
      <c r="W15" s="1"/>
      <c r="X15" s="1">
        <v>408</v>
      </c>
      <c r="Y15" s="1">
        <v>30</v>
      </c>
      <c r="Z15" s="1">
        <v>0</v>
      </c>
      <c r="AA15" s="1">
        <f>SUM(X15:Y15:Z15)</f>
        <v>438</v>
      </c>
    </row>
    <row r="16" spans="1:27" x14ac:dyDescent="0.3">
      <c r="A16" s="2" t="s">
        <v>20</v>
      </c>
      <c r="B16" s="1" t="s">
        <v>16</v>
      </c>
      <c r="C16" s="1">
        <v>1</v>
      </c>
      <c r="D16" s="1">
        <v>17</v>
      </c>
      <c r="E16" s="1">
        <v>0</v>
      </c>
      <c r="F16" s="1">
        <v>0</v>
      </c>
      <c r="G16" s="1">
        <f>SUM(D16:E16:F16)</f>
        <v>17</v>
      </c>
      <c r="H16" s="1"/>
      <c r="I16" s="1">
        <v>1</v>
      </c>
      <c r="J16" s="1">
        <v>0</v>
      </c>
      <c r="K16" s="1">
        <v>0</v>
      </c>
      <c r="L16" s="1">
        <f>SUM(I16:J16:K16)</f>
        <v>1</v>
      </c>
      <c r="M16" s="1"/>
      <c r="N16" s="1">
        <v>1</v>
      </c>
      <c r="O16" s="1">
        <v>0</v>
      </c>
      <c r="P16" s="1">
        <v>0</v>
      </c>
      <c r="Q16" s="1">
        <f>SUM(N16:O16:P16)</f>
        <v>1</v>
      </c>
      <c r="R16" s="1"/>
      <c r="S16" s="6">
        <f>D16-I16-N16</f>
        <v>15</v>
      </c>
      <c r="T16" s="6">
        <f>E16-J16-O16</f>
        <v>0</v>
      </c>
      <c r="U16" s="6">
        <f>F16-K16-P16</f>
        <v>0</v>
      </c>
      <c r="V16" s="6">
        <f>SUM(S16:T16:U16)</f>
        <v>15</v>
      </c>
      <c r="W16" s="1"/>
      <c r="X16" s="1">
        <v>13</v>
      </c>
      <c r="Y16" s="1">
        <v>0</v>
      </c>
      <c r="Z16" s="1">
        <v>0</v>
      </c>
      <c r="AA16" s="1">
        <f>SUM(X16:Y16:Z16)</f>
        <v>13</v>
      </c>
    </row>
    <row r="17" spans="1:27" x14ac:dyDescent="0.3">
      <c r="A17" s="2" t="s">
        <v>20</v>
      </c>
      <c r="B17" s="1" t="s">
        <v>17</v>
      </c>
      <c r="C17" s="1">
        <v>6</v>
      </c>
      <c r="D17" s="1">
        <v>78</v>
      </c>
      <c r="E17" s="1">
        <v>10</v>
      </c>
      <c r="F17" s="1">
        <v>0</v>
      </c>
      <c r="G17" s="1">
        <f>SUM(D17:E17:F17)</f>
        <v>88</v>
      </c>
      <c r="H17" s="1"/>
      <c r="I17" s="1">
        <v>7</v>
      </c>
      <c r="J17" s="1">
        <v>2</v>
      </c>
      <c r="K17" s="1">
        <v>0</v>
      </c>
      <c r="L17" s="1">
        <f>SUM(I17:J17:K17)</f>
        <v>9</v>
      </c>
      <c r="M17" s="1"/>
      <c r="N17" s="1">
        <v>3</v>
      </c>
      <c r="O17" s="1">
        <v>0</v>
      </c>
      <c r="P17" s="1">
        <v>0</v>
      </c>
      <c r="Q17" s="1">
        <f>SUM(N17:O17:P17)</f>
        <v>3</v>
      </c>
      <c r="R17" s="1"/>
      <c r="S17" s="6">
        <f>D17-I17-N17</f>
        <v>68</v>
      </c>
      <c r="T17" s="6">
        <f>E17-J17-O17</f>
        <v>8</v>
      </c>
      <c r="U17" s="6">
        <f>F17-K17-P17</f>
        <v>0</v>
      </c>
      <c r="V17" s="6">
        <f>SUM(S17:T17:U17)</f>
        <v>76</v>
      </c>
      <c r="W17" s="1"/>
      <c r="X17" s="1">
        <v>55</v>
      </c>
      <c r="Y17" s="1">
        <v>6</v>
      </c>
      <c r="Z17" s="1">
        <v>0</v>
      </c>
      <c r="AA17" s="1">
        <f>SUM(X17:Y17:Z17)</f>
        <v>61</v>
      </c>
    </row>
    <row r="18" spans="1:27" s="9" customFormat="1" x14ac:dyDescent="0.3">
      <c r="A18" s="8" t="s">
        <v>20</v>
      </c>
      <c r="B18" s="8" t="s">
        <v>13</v>
      </c>
      <c r="C18" s="8">
        <f>SUM(C15:C16:C17)</f>
        <v>40</v>
      </c>
      <c r="D18" s="8">
        <f>SUM(D15:D16:D17)</f>
        <v>655</v>
      </c>
      <c r="E18" s="8">
        <f>SUM(E15:E16:E17)</f>
        <v>54</v>
      </c>
      <c r="F18" s="8">
        <f>SUM(F15:F16:F17)</f>
        <v>0</v>
      </c>
      <c r="G18" s="8">
        <f>SUM(G15:G16:G17)</f>
        <v>709</v>
      </c>
      <c r="H18" s="8"/>
      <c r="I18" s="8">
        <f>SUM(I15:I16:I17)</f>
        <v>73</v>
      </c>
      <c r="J18" s="8">
        <f>SUM(J15:J16:J17)</f>
        <v>6</v>
      </c>
      <c r="K18" s="8">
        <f>SUM(K15:K16:K17)</f>
        <v>0</v>
      </c>
      <c r="L18" s="8">
        <f>SUM(L15:L16:L17)</f>
        <v>79</v>
      </c>
      <c r="M18" s="8"/>
      <c r="N18" s="8">
        <f>SUM(N15:N16:N17)</f>
        <v>22</v>
      </c>
      <c r="O18" s="8">
        <f>SUM(O15:O16:O17)</f>
        <v>1</v>
      </c>
      <c r="P18" s="8">
        <f>SUM(K15:K16:K17)</f>
        <v>0</v>
      </c>
      <c r="Q18" s="8">
        <f>SUM(Q15:Q16:Q17)</f>
        <v>23</v>
      </c>
      <c r="R18" s="8"/>
      <c r="S18" s="8">
        <f>SUM(S15:S16:S17)</f>
        <v>560</v>
      </c>
      <c r="T18" s="8">
        <f>SUM(T15:T16:T17)</f>
        <v>47</v>
      </c>
      <c r="U18" s="8">
        <f>SUM(U15:U16:U17)</f>
        <v>0</v>
      </c>
      <c r="V18" s="8">
        <f>SUM(V15:V16:V17)</f>
        <v>607</v>
      </c>
      <c r="W18" s="8"/>
      <c r="X18" s="8">
        <f>SUM(X15:X16:X17)</f>
        <v>476</v>
      </c>
      <c r="Y18" s="8">
        <f>SUM(Y15:Y16:Y17)</f>
        <v>36</v>
      </c>
      <c r="Z18" s="8">
        <f>SUM(Z15:Z16:Z17)</f>
        <v>0</v>
      </c>
      <c r="AA18" s="8">
        <f>SUM(AA15:AA16:AA17)</f>
        <v>512</v>
      </c>
    </row>
    <row r="19" spans="1:27" x14ac:dyDescent="0.3">
      <c r="A19" s="1" t="s">
        <v>21</v>
      </c>
      <c r="B19" s="1" t="s">
        <v>15</v>
      </c>
      <c r="C19" s="1">
        <v>2</v>
      </c>
      <c r="D19" s="1">
        <v>22</v>
      </c>
      <c r="E19" s="1">
        <v>2</v>
      </c>
      <c r="F19" s="1">
        <v>0</v>
      </c>
      <c r="G19" s="1">
        <f>SUM(D19:E19:F19)</f>
        <v>24</v>
      </c>
      <c r="H19" s="1"/>
      <c r="I19" s="1">
        <v>4</v>
      </c>
      <c r="J19" s="1">
        <v>0</v>
      </c>
      <c r="K19" s="1">
        <v>0</v>
      </c>
      <c r="L19" s="1">
        <f>SUM(I19:J19:K19)</f>
        <v>4</v>
      </c>
      <c r="M19" s="1"/>
      <c r="N19" s="1">
        <v>1</v>
      </c>
      <c r="O19" s="1">
        <v>0</v>
      </c>
      <c r="P19" s="1">
        <v>0</v>
      </c>
      <c r="Q19" s="1">
        <f>SUM(N19:O19:P19)</f>
        <v>1</v>
      </c>
      <c r="R19" s="1"/>
      <c r="S19" s="6">
        <f>D19-I19-N19</f>
        <v>17</v>
      </c>
      <c r="T19" s="6">
        <f>E19-J19-O19</f>
        <v>2</v>
      </c>
      <c r="U19" s="6">
        <f>F19-K19-P19</f>
        <v>0</v>
      </c>
      <c r="V19" s="6">
        <f>SUM(S19:T19:U19)</f>
        <v>19</v>
      </c>
      <c r="W19" s="1"/>
      <c r="X19" s="1">
        <v>13</v>
      </c>
      <c r="Y19" s="1">
        <v>2</v>
      </c>
      <c r="Z19" s="1">
        <v>0</v>
      </c>
      <c r="AA19" s="1">
        <f>SUM(X19:Y19:Z19)</f>
        <v>15</v>
      </c>
    </row>
    <row r="20" spans="1:27" x14ac:dyDescent="0.3">
      <c r="A20" s="2" t="s">
        <v>21</v>
      </c>
      <c r="B20" s="1" t="s">
        <v>16</v>
      </c>
      <c r="C20" s="1">
        <v>0</v>
      </c>
      <c r="D20" s="1">
        <v>0</v>
      </c>
      <c r="E20" s="1">
        <v>0</v>
      </c>
      <c r="F20" s="1">
        <v>0</v>
      </c>
      <c r="G20" s="1">
        <f>SUM(D20:E20:F20)</f>
        <v>0</v>
      </c>
      <c r="H20" s="1"/>
      <c r="I20" s="1">
        <v>0</v>
      </c>
      <c r="J20" s="1">
        <v>0</v>
      </c>
      <c r="K20" s="1">
        <v>0</v>
      </c>
      <c r="L20" s="1">
        <f>SUM(I20:J20:K20)</f>
        <v>0</v>
      </c>
      <c r="M20" s="1"/>
      <c r="N20" s="1">
        <v>0</v>
      </c>
      <c r="O20" s="1">
        <v>0</v>
      </c>
      <c r="P20" s="1">
        <v>0</v>
      </c>
      <c r="Q20" s="1">
        <f>SUM(N20:O20:P20)</f>
        <v>0</v>
      </c>
      <c r="R20" s="1"/>
      <c r="S20" s="6">
        <f>D20-I20-N20</f>
        <v>0</v>
      </c>
      <c r="T20" s="6">
        <f>E20-J20-O20</f>
        <v>0</v>
      </c>
      <c r="U20" s="6">
        <f>F20-K20-P20</f>
        <v>0</v>
      </c>
      <c r="V20" s="6">
        <f>SUM(S20:T20:U20)</f>
        <v>0</v>
      </c>
      <c r="W20" s="1"/>
      <c r="X20" s="1">
        <v>0</v>
      </c>
      <c r="Y20" s="1">
        <v>0</v>
      </c>
      <c r="Z20" s="1">
        <v>0</v>
      </c>
      <c r="AA20" s="1">
        <f>SUM(X20:Y20:Z20)</f>
        <v>0</v>
      </c>
    </row>
    <row r="21" spans="1:27" x14ac:dyDescent="0.3">
      <c r="A21" s="2" t="s">
        <v>21</v>
      </c>
      <c r="B21" s="1" t="s">
        <v>17</v>
      </c>
      <c r="C21" s="1">
        <v>0</v>
      </c>
      <c r="D21" s="1">
        <v>0</v>
      </c>
      <c r="E21" s="1">
        <v>0</v>
      </c>
      <c r="F21" s="1">
        <v>0</v>
      </c>
      <c r="G21" s="1">
        <f>SUM(D21:E21:F21)</f>
        <v>0</v>
      </c>
      <c r="H21" s="1"/>
      <c r="I21" s="1">
        <v>0</v>
      </c>
      <c r="J21" s="1">
        <v>0</v>
      </c>
      <c r="K21" s="1">
        <v>0</v>
      </c>
      <c r="L21" s="1">
        <f>SUM(I21:J21:K21)</f>
        <v>0</v>
      </c>
      <c r="M21" s="1"/>
      <c r="N21" s="1">
        <v>0</v>
      </c>
      <c r="O21" s="1">
        <v>0</v>
      </c>
      <c r="P21" s="1">
        <v>0</v>
      </c>
      <c r="Q21" s="1">
        <f>SUM(N21:O21:P21)</f>
        <v>0</v>
      </c>
      <c r="R21" s="1"/>
      <c r="S21" s="6">
        <f>D21-I21-N21</f>
        <v>0</v>
      </c>
      <c r="T21" s="6">
        <f>E21-J21-O21</f>
        <v>0</v>
      </c>
      <c r="U21" s="6">
        <f>F21-K21-P21</f>
        <v>0</v>
      </c>
      <c r="V21" s="6">
        <f>SUM(S21:T21:U21)</f>
        <v>0</v>
      </c>
      <c r="W21" s="1"/>
      <c r="X21" s="1">
        <v>0</v>
      </c>
      <c r="Y21" s="1">
        <v>0</v>
      </c>
      <c r="Z21" s="1">
        <v>0</v>
      </c>
      <c r="AA21" s="1">
        <f>SUM(X21:Y21:Z21)</f>
        <v>0</v>
      </c>
    </row>
    <row r="22" spans="1:27" s="9" customFormat="1" x14ac:dyDescent="0.3">
      <c r="A22" s="8" t="s">
        <v>21</v>
      </c>
      <c r="B22" s="8" t="s">
        <v>13</v>
      </c>
      <c r="C22" s="8">
        <f>SUM(C19:C20:C21)</f>
        <v>2</v>
      </c>
      <c r="D22" s="8">
        <f>SUM(D19:D20:D21)</f>
        <v>22</v>
      </c>
      <c r="E22" s="8">
        <f>SUM(E19:E20:E21)</f>
        <v>2</v>
      </c>
      <c r="F22" s="8">
        <f>SUM(F19:F20:F21)</f>
        <v>0</v>
      </c>
      <c r="G22" s="8">
        <f>SUM(G19:G20:G21)</f>
        <v>24</v>
      </c>
      <c r="H22" s="8"/>
      <c r="I22" s="8">
        <f>SUM(I19:I20:I21)</f>
        <v>4</v>
      </c>
      <c r="J22" s="8">
        <f>SUM(J19:J20:J21)</f>
        <v>0</v>
      </c>
      <c r="K22" s="8">
        <f>SUM(K19:K20:K21)</f>
        <v>0</v>
      </c>
      <c r="L22" s="8">
        <f>SUM(L19:L20:L21)</f>
        <v>4</v>
      </c>
      <c r="M22" s="8"/>
      <c r="N22" s="8">
        <f>SUM(N19:N20:N21)</f>
        <v>1</v>
      </c>
      <c r="O22" s="8">
        <f>SUM(O19:O20:O21)</f>
        <v>0</v>
      </c>
      <c r="P22" s="8">
        <f>SUM(K19:K20:K21)</f>
        <v>0</v>
      </c>
      <c r="Q22" s="8">
        <f>SUM(Q19:Q20:Q21)</f>
        <v>1</v>
      </c>
      <c r="R22" s="8"/>
      <c r="S22" s="8">
        <f>SUM(S19:S20:S21)</f>
        <v>17</v>
      </c>
      <c r="T22" s="8">
        <f>SUM(T19:T20:T21)</f>
        <v>2</v>
      </c>
      <c r="U22" s="8">
        <f>SUM(U19:U20:U21)</f>
        <v>0</v>
      </c>
      <c r="V22" s="8">
        <f>SUM(V19:V20:V21)</f>
        <v>19</v>
      </c>
      <c r="W22" s="8"/>
      <c r="X22" s="8">
        <f>SUM(X19:X20:X21)</f>
        <v>13</v>
      </c>
      <c r="Y22" s="8">
        <f>SUM(Y19:Y20:Y21)</f>
        <v>2</v>
      </c>
      <c r="Z22" s="8">
        <f>SUM(Z19:Z20:Z21)</f>
        <v>0</v>
      </c>
      <c r="AA22" s="8">
        <f>SUM(AA19:AA20:AA21)</f>
        <v>15</v>
      </c>
    </row>
    <row r="23" spans="1:27" x14ac:dyDescent="0.3">
      <c r="A23" s="1" t="s">
        <v>22</v>
      </c>
      <c r="B23" s="1" t="s">
        <v>15</v>
      </c>
      <c r="C23" s="1">
        <v>20</v>
      </c>
      <c r="D23" s="1">
        <v>420</v>
      </c>
      <c r="E23" s="1">
        <v>18</v>
      </c>
      <c r="F23" s="1">
        <v>0</v>
      </c>
      <c r="G23" s="1">
        <f>SUM(D23:E23:F23)</f>
        <v>438</v>
      </c>
      <c r="H23" s="1"/>
      <c r="I23" s="1">
        <v>76</v>
      </c>
      <c r="J23" s="1">
        <v>3</v>
      </c>
      <c r="K23" s="1">
        <v>0</v>
      </c>
      <c r="L23" s="1">
        <f>SUM(I23:J23:K23)</f>
        <v>79</v>
      </c>
      <c r="M23" s="1"/>
      <c r="N23" s="1">
        <v>73</v>
      </c>
      <c r="O23" s="1">
        <v>2</v>
      </c>
      <c r="P23" s="1">
        <v>0</v>
      </c>
      <c r="Q23" s="1">
        <f>SUM(N23:O23:P23)</f>
        <v>75</v>
      </c>
      <c r="R23" s="1"/>
      <c r="S23" s="6">
        <f>D23-I23-N23</f>
        <v>271</v>
      </c>
      <c r="T23" s="6">
        <f>E23-J23-O23</f>
        <v>13</v>
      </c>
      <c r="U23" s="6">
        <f>F23-K23-P23</f>
        <v>0</v>
      </c>
      <c r="V23" s="6">
        <f>SUM(S23:T23:U23)</f>
        <v>284</v>
      </c>
      <c r="W23" s="1"/>
      <c r="X23" s="1">
        <v>235</v>
      </c>
      <c r="Y23" s="1">
        <v>9</v>
      </c>
      <c r="Z23" s="1">
        <v>0</v>
      </c>
      <c r="AA23" s="1">
        <f>SUM(X23:Y23:Z23)</f>
        <v>244</v>
      </c>
    </row>
    <row r="24" spans="1:27" x14ac:dyDescent="0.3">
      <c r="A24" t="str">
        <f t="shared" ref="A24:A26" si="2">A23</f>
        <v>Gujarat</v>
      </c>
      <c r="B24" s="1" t="s">
        <v>16</v>
      </c>
      <c r="C24" s="1">
        <v>2</v>
      </c>
      <c r="D24" s="1">
        <v>21</v>
      </c>
      <c r="E24" s="1">
        <v>2</v>
      </c>
      <c r="F24" s="1">
        <v>0</v>
      </c>
      <c r="G24" s="1">
        <f>SUM(D24:E24:F24)</f>
        <v>23</v>
      </c>
      <c r="H24" s="1"/>
      <c r="I24" s="1">
        <v>3</v>
      </c>
      <c r="J24" s="1">
        <v>2</v>
      </c>
      <c r="K24" s="1">
        <v>0</v>
      </c>
      <c r="L24" s="1">
        <f>SUM(I24:J24:K24)</f>
        <v>5</v>
      </c>
      <c r="M24" s="1"/>
      <c r="N24" s="1">
        <v>2</v>
      </c>
      <c r="O24" s="1">
        <v>0</v>
      </c>
      <c r="P24" s="1">
        <v>0</v>
      </c>
      <c r="Q24" s="1">
        <f>SUM(N24:O24:P24)</f>
        <v>2</v>
      </c>
      <c r="R24" s="1"/>
      <c r="S24" s="6">
        <f>D24-I24-N24</f>
        <v>16</v>
      </c>
      <c r="T24" s="6">
        <f>E24-J24-O24</f>
        <v>0</v>
      </c>
      <c r="U24" s="6">
        <f>F24-K24-P24</f>
        <v>0</v>
      </c>
      <c r="V24" s="6">
        <f>SUM(S24:T24:U24)</f>
        <v>16</v>
      </c>
      <c r="W24" s="1"/>
      <c r="X24" s="1">
        <v>12</v>
      </c>
      <c r="Y24" s="1">
        <v>0</v>
      </c>
      <c r="Z24" s="1">
        <v>0</v>
      </c>
      <c r="AA24" s="1">
        <f>SUM(X24:Y24:Z24)</f>
        <v>12</v>
      </c>
    </row>
    <row r="25" spans="1:27" x14ac:dyDescent="0.3">
      <c r="A25" t="str">
        <f t="shared" si="2"/>
        <v>Gujarat</v>
      </c>
      <c r="B25" s="1" t="s">
        <v>17</v>
      </c>
      <c r="C25" s="1">
        <v>4</v>
      </c>
      <c r="D25" s="1">
        <v>43</v>
      </c>
      <c r="E25" s="1">
        <v>5</v>
      </c>
      <c r="F25" s="1">
        <v>0</v>
      </c>
      <c r="G25" s="1">
        <f>SUM(D25:E25:F25)</f>
        <v>48</v>
      </c>
      <c r="H25" s="1"/>
      <c r="I25" s="1">
        <v>11</v>
      </c>
      <c r="J25" s="1">
        <v>1</v>
      </c>
      <c r="K25" s="1">
        <v>0</v>
      </c>
      <c r="L25" s="1">
        <f>SUM(I25:J25:K25)</f>
        <v>12</v>
      </c>
      <c r="M25" s="1"/>
      <c r="N25" s="1">
        <v>1</v>
      </c>
      <c r="O25" s="1">
        <v>1</v>
      </c>
      <c r="P25" s="1">
        <v>0</v>
      </c>
      <c r="Q25" s="1">
        <f>SUM(N25:O25:P25)</f>
        <v>2</v>
      </c>
      <c r="R25" s="1"/>
      <c r="S25" s="6">
        <f>D25-I25-N25</f>
        <v>31</v>
      </c>
      <c r="T25" s="6">
        <f>E25-J25-O25</f>
        <v>3</v>
      </c>
      <c r="U25" s="6">
        <f>F25-K25-P25</f>
        <v>0</v>
      </c>
      <c r="V25" s="6">
        <f>SUM(S25:T25:U25)</f>
        <v>34</v>
      </c>
      <c r="W25" s="1"/>
      <c r="X25" s="1">
        <v>24</v>
      </c>
      <c r="Y25" s="1">
        <v>2</v>
      </c>
      <c r="Z25" s="1">
        <v>0</v>
      </c>
      <c r="AA25" s="1">
        <f>SUM(X25:Y25:Z25)</f>
        <v>26</v>
      </c>
    </row>
    <row r="26" spans="1:27" s="9" customFormat="1" x14ac:dyDescent="0.3">
      <c r="A26" s="9" t="str">
        <f t="shared" si="2"/>
        <v>Gujarat</v>
      </c>
      <c r="B26" s="8" t="s">
        <v>13</v>
      </c>
      <c r="C26" s="8">
        <f>SUM(C23:C24:C25)</f>
        <v>26</v>
      </c>
      <c r="D26" s="8">
        <f>SUM(D23:D24:D25)</f>
        <v>484</v>
      </c>
      <c r="E26" s="8">
        <f>SUM(E23:E24:E25)</f>
        <v>25</v>
      </c>
      <c r="F26" s="8">
        <f>SUM(F23:F24:F25)</f>
        <v>0</v>
      </c>
      <c r="G26" s="8">
        <f>SUM(G23:G24:G25)</f>
        <v>509</v>
      </c>
      <c r="H26" s="8"/>
      <c r="I26" s="8">
        <f>SUM(I23:I24:I25)</f>
        <v>90</v>
      </c>
      <c r="J26" s="8">
        <f>SUM(J23:J24:J25)</f>
        <v>6</v>
      </c>
      <c r="K26" s="8">
        <f>SUM(K23:K24:K25)</f>
        <v>0</v>
      </c>
      <c r="L26" s="8">
        <f>SUM(L23:L24:L25)</f>
        <v>96</v>
      </c>
      <c r="M26" s="8"/>
      <c r="N26" s="8">
        <f>SUM(N23:N24:N25)</f>
        <v>76</v>
      </c>
      <c r="O26" s="8">
        <f>SUM(O23:O24:O25)</f>
        <v>3</v>
      </c>
      <c r="P26" s="8">
        <f>SUM(K23:K24:K25)</f>
        <v>0</v>
      </c>
      <c r="Q26" s="8">
        <f>SUM(Q23:Q24:Q25)</f>
        <v>79</v>
      </c>
      <c r="R26" s="8"/>
      <c r="S26" s="8">
        <f>SUM(S23:S24:S25)</f>
        <v>318</v>
      </c>
      <c r="T26" s="8">
        <f>SUM(T23:T24:T25)</f>
        <v>16</v>
      </c>
      <c r="U26" s="8">
        <f>SUM(U23:U24:U25)</f>
        <v>0</v>
      </c>
      <c r="V26" s="8">
        <f>SUM(V23:V24:V25)</f>
        <v>334</v>
      </c>
      <c r="W26" s="8"/>
      <c r="X26" s="8">
        <f>SUM(X23:X24:X25)</f>
        <v>271</v>
      </c>
      <c r="Y26" s="8">
        <f>SUM(Y23:Y24:Y25)</f>
        <v>11</v>
      </c>
      <c r="Z26" s="8">
        <f>SUM(Z23:Z24:Z25)</f>
        <v>0</v>
      </c>
      <c r="AA26" s="8">
        <f>SUM(AA23:AA24:AA25)</f>
        <v>282</v>
      </c>
    </row>
    <row r="27" spans="1:27" x14ac:dyDescent="0.3">
      <c r="A27" s="1" t="s">
        <v>23</v>
      </c>
      <c r="B27" s="1" t="s">
        <v>15</v>
      </c>
      <c r="C27" s="1">
        <v>8</v>
      </c>
      <c r="D27" s="1">
        <v>227</v>
      </c>
      <c r="E27" s="1">
        <v>27</v>
      </c>
      <c r="F27" s="1">
        <v>0</v>
      </c>
      <c r="G27" s="1">
        <f>SUM(D27:E27:F27)</f>
        <v>254</v>
      </c>
      <c r="H27" s="1"/>
      <c r="I27" s="1">
        <v>23</v>
      </c>
      <c r="J27" s="1">
        <v>16</v>
      </c>
      <c r="K27" s="1">
        <v>0</v>
      </c>
      <c r="L27" s="1">
        <f>SUM(I27:J27:K27)</f>
        <v>39</v>
      </c>
      <c r="M27" s="1"/>
      <c r="N27" s="1">
        <v>16</v>
      </c>
      <c r="O27" s="1">
        <v>1</v>
      </c>
      <c r="P27" s="1">
        <v>0</v>
      </c>
      <c r="Q27" s="1">
        <f>SUM(N27:O27:P27)</f>
        <v>17</v>
      </c>
      <c r="R27" s="1"/>
      <c r="S27" s="6">
        <f>D27-I27-N27</f>
        <v>188</v>
      </c>
      <c r="T27" s="6">
        <f>E27-J27-O27</f>
        <v>10</v>
      </c>
      <c r="U27" s="6">
        <f>F27-K27-P27</f>
        <v>0</v>
      </c>
      <c r="V27" s="6">
        <f>SUM(S27:T27:U27)</f>
        <v>198</v>
      </c>
      <c r="W27" s="1"/>
      <c r="X27" s="1">
        <v>171</v>
      </c>
      <c r="Y27" s="1">
        <v>9</v>
      </c>
      <c r="Z27" s="1">
        <v>0</v>
      </c>
      <c r="AA27" s="1">
        <f>SUM(X27:Y27:Z27)</f>
        <v>180</v>
      </c>
    </row>
    <row r="28" spans="1:27" x14ac:dyDescent="0.3">
      <c r="A28" t="str">
        <f t="shared" ref="A28:A30" si="3">A27</f>
        <v>Haryana</v>
      </c>
      <c r="B28" s="1" t="s">
        <v>16</v>
      </c>
      <c r="C28" s="1">
        <v>2</v>
      </c>
      <c r="D28" s="1">
        <v>40</v>
      </c>
      <c r="E28" s="1">
        <v>5</v>
      </c>
      <c r="F28" s="1">
        <v>0</v>
      </c>
      <c r="G28" s="1">
        <f>SUM(D28:E28:F28)</f>
        <v>45</v>
      </c>
      <c r="H28" s="1"/>
      <c r="I28" s="1">
        <v>6</v>
      </c>
      <c r="J28" s="1">
        <v>3</v>
      </c>
      <c r="K28" s="1">
        <v>0</v>
      </c>
      <c r="L28" s="1">
        <f>SUM(I28:J28:K28)</f>
        <v>9</v>
      </c>
      <c r="M28" s="1"/>
      <c r="N28" s="1">
        <v>3</v>
      </c>
      <c r="O28" s="1">
        <v>1</v>
      </c>
      <c r="P28" s="1">
        <v>0</v>
      </c>
      <c r="Q28" s="1">
        <f>SUM(N28:O28:P28)</f>
        <v>4</v>
      </c>
      <c r="R28" s="1"/>
      <c r="S28" s="6">
        <f>D28-I28-N28</f>
        <v>31</v>
      </c>
      <c r="T28" s="6">
        <f>E28-J28-O28</f>
        <v>1</v>
      </c>
      <c r="U28" s="6">
        <f>F28-K28-P28</f>
        <v>0</v>
      </c>
      <c r="V28" s="6">
        <f>SUM(S28:T28:U28)</f>
        <v>32</v>
      </c>
      <c r="W28" s="1"/>
      <c r="X28" s="1">
        <v>26</v>
      </c>
      <c r="Y28" s="1">
        <v>1</v>
      </c>
      <c r="Z28" s="1">
        <v>0</v>
      </c>
      <c r="AA28" s="1">
        <f>SUM(X28:Y28:Z28)</f>
        <v>27</v>
      </c>
    </row>
    <row r="29" spans="1:27" x14ac:dyDescent="0.3">
      <c r="A29" t="str">
        <f t="shared" si="3"/>
        <v>Haryana</v>
      </c>
      <c r="B29" s="1" t="s">
        <v>17</v>
      </c>
      <c r="C29" s="1">
        <v>0</v>
      </c>
      <c r="D29" s="1">
        <v>0</v>
      </c>
      <c r="E29" s="1">
        <v>0</v>
      </c>
      <c r="F29" s="1">
        <v>0</v>
      </c>
      <c r="G29" s="1">
        <f>SUM(D29:E29:F29)</f>
        <v>0</v>
      </c>
      <c r="H29" s="1"/>
      <c r="I29" s="1">
        <v>0</v>
      </c>
      <c r="J29" s="1">
        <v>0</v>
      </c>
      <c r="K29" s="1">
        <v>0</v>
      </c>
      <c r="L29" s="1">
        <f>SUM(I29:J29:K29)</f>
        <v>0</v>
      </c>
      <c r="M29" s="1"/>
      <c r="N29" s="1">
        <v>0</v>
      </c>
      <c r="O29" s="1">
        <v>0</v>
      </c>
      <c r="P29" s="1">
        <v>0</v>
      </c>
      <c r="Q29" s="1">
        <f>SUM(N29:O29:P29)</f>
        <v>0</v>
      </c>
      <c r="R29" s="1"/>
      <c r="S29" s="6">
        <f>D29-I29-N29</f>
        <v>0</v>
      </c>
      <c r="T29" s="6">
        <f>E29-J29-O29</f>
        <v>0</v>
      </c>
      <c r="U29" s="6">
        <f>F29-K29-P29</f>
        <v>0</v>
      </c>
      <c r="V29" s="6">
        <f>SUM(S29:T29:U29)</f>
        <v>0</v>
      </c>
      <c r="W29" s="1"/>
      <c r="X29" s="1">
        <v>0</v>
      </c>
      <c r="Y29" s="1">
        <v>0</v>
      </c>
      <c r="Z29" s="1">
        <v>0</v>
      </c>
      <c r="AA29" s="1">
        <f>SUM(X29:Y29:Z29)</f>
        <v>0</v>
      </c>
    </row>
    <row r="30" spans="1:27" s="9" customFormat="1" x14ac:dyDescent="0.3">
      <c r="A30" s="9" t="str">
        <f t="shared" si="3"/>
        <v>Haryana</v>
      </c>
      <c r="B30" s="8" t="s">
        <v>13</v>
      </c>
      <c r="C30" s="8">
        <f>SUM(C27:C28:C29)</f>
        <v>10</v>
      </c>
      <c r="D30" s="8">
        <f>SUM(D27:D28:D29)</f>
        <v>267</v>
      </c>
      <c r="E30" s="8">
        <f>SUM(E27:E28:E29)</f>
        <v>32</v>
      </c>
      <c r="F30" s="8">
        <f>SUM(F27:F28:F29)</f>
        <v>0</v>
      </c>
      <c r="G30" s="8">
        <f>SUM(G27:G28:G29)</f>
        <v>299</v>
      </c>
      <c r="H30" s="8"/>
      <c r="I30" s="8">
        <f>SUM(I27:I28:I29)</f>
        <v>29</v>
      </c>
      <c r="J30" s="8">
        <f>SUM(J27:J28:J29)</f>
        <v>19</v>
      </c>
      <c r="K30" s="8">
        <f>SUM(K27:K28:K29)</f>
        <v>0</v>
      </c>
      <c r="L30" s="8">
        <f>SUM(L27:L28:L29)</f>
        <v>48</v>
      </c>
      <c r="M30" s="8"/>
      <c r="N30" s="8">
        <f>SUM(N27:N28:N29)</f>
        <v>19</v>
      </c>
      <c r="O30" s="8">
        <f>SUM(O27:O28:O29)</f>
        <v>2</v>
      </c>
      <c r="P30" s="8">
        <f>SUM(K27:K28:K29)</f>
        <v>0</v>
      </c>
      <c r="Q30" s="8">
        <f>SUM(Q27:Q28:Q29)</f>
        <v>21</v>
      </c>
      <c r="R30" s="8"/>
      <c r="S30" s="8">
        <f>SUM(S27:S28:S29)</f>
        <v>219</v>
      </c>
      <c r="T30" s="8">
        <f>SUM(T27:T28:T29)</f>
        <v>11</v>
      </c>
      <c r="U30" s="8">
        <f>SUM(U27:U28:U29)</f>
        <v>0</v>
      </c>
      <c r="V30" s="8">
        <f>SUM(V27:V28:V29)</f>
        <v>230</v>
      </c>
      <c r="W30" s="8"/>
      <c r="X30" s="8">
        <f>SUM(X27:X28:X29)</f>
        <v>197</v>
      </c>
      <c r="Y30" s="8">
        <f>SUM(Y27:Y28:Y29)</f>
        <v>10</v>
      </c>
      <c r="Z30" s="8">
        <f>SUM(Z27:Z28:Z29)</f>
        <v>0</v>
      </c>
      <c r="AA30" s="8">
        <f>SUM(AA27:AA28:AA29)</f>
        <v>207</v>
      </c>
    </row>
    <row r="31" spans="1:27" x14ac:dyDescent="0.3">
      <c r="A31" s="1" t="s">
        <v>24</v>
      </c>
      <c r="B31" s="1" t="s">
        <v>15</v>
      </c>
      <c r="C31" s="1">
        <v>3</v>
      </c>
      <c r="D31" s="1">
        <v>34</v>
      </c>
      <c r="E31" s="1">
        <v>5</v>
      </c>
      <c r="F31" s="1">
        <v>1</v>
      </c>
      <c r="G31" s="1">
        <f>SUM(D31:E31:F31)</f>
        <v>40</v>
      </c>
      <c r="H31" s="1"/>
      <c r="I31" s="1">
        <v>6</v>
      </c>
      <c r="J31" s="1">
        <v>0</v>
      </c>
      <c r="K31" s="1">
        <v>1</v>
      </c>
      <c r="L31" s="1">
        <f>SUM(I31:J31:K31)</f>
        <v>7</v>
      </c>
      <c r="M31" s="1"/>
      <c r="N31" s="1">
        <v>2</v>
      </c>
      <c r="O31" s="1">
        <v>0</v>
      </c>
      <c r="P31" s="1">
        <v>0</v>
      </c>
      <c r="Q31" s="1">
        <f>SUM(N31:O31:P31)</f>
        <v>2</v>
      </c>
      <c r="R31" s="1"/>
      <c r="S31" s="6">
        <f>D31-I31-N31</f>
        <v>26</v>
      </c>
      <c r="T31" s="6">
        <f>E31-J31-O31</f>
        <v>5</v>
      </c>
      <c r="U31" s="6">
        <f>F31-K31-P31</f>
        <v>0</v>
      </c>
      <c r="V31" s="6">
        <f>SUM(S31:T31:U31)</f>
        <v>31</v>
      </c>
      <c r="W31" s="1"/>
      <c r="X31" s="1">
        <v>21</v>
      </c>
      <c r="Y31" s="1">
        <v>4</v>
      </c>
      <c r="Z31" s="1">
        <v>0</v>
      </c>
      <c r="AA31" s="1">
        <f>SUM(X31:Y31:Z31)</f>
        <v>25</v>
      </c>
    </row>
    <row r="32" spans="1:27" x14ac:dyDescent="0.3">
      <c r="A32" t="str">
        <f t="shared" ref="A32:A34" si="4">A31</f>
        <v>Himachal Pradesh</v>
      </c>
      <c r="B32" s="1" t="s">
        <v>16</v>
      </c>
      <c r="C32" s="1">
        <v>1</v>
      </c>
      <c r="D32" s="1">
        <v>10</v>
      </c>
      <c r="E32" s="1">
        <v>0</v>
      </c>
      <c r="F32" s="1">
        <v>0</v>
      </c>
      <c r="G32" s="1">
        <f>SUM(D32:E32:F32)</f>
        <v>10</v>
      </c>
      <c r="H32" s="1"/>
      <c r="I32" s="1">
        <v>3</v>
      </c>
      <c r="J32" s="1">
        <v>0</v>
      </c>
      <c r="K32" s="1">
        <v>0</v>
      </c>
      <c r="L32" s="1">
        <f>SUM(I32:J32:K32)</f>
        <v>3</v>
      </c>
      <c r="M32" s="1"/>
      <c r="N32" s="1">
        <v>0</v>
      </c>
      <c r="O32" s="1">
        <v>0</v>
      </c>
      <c r="P32" s="1">
        <v>0</v>
      </c>
      <c r="Q32" s="1">
        <f>SUM(N32:O32:P32)</f>
        <v>0</v>
      </c>
      <c r="R32" s="1"/>
      <c r="S32" s="6">
        <f>D32-I32-N32</f>
        <v>7</v>
      </c>
      <c r="T32" s="6">
        <f>E32-J32-O32</f>
        <v>0</v>
      </c>
      <c r="U32" s="6">
        <f>F32-K32-P32</f>
        <v>0</v>
      </c>
      <c r="V32" s="6">
        <f>SUM(S32:T32:U32)</f>
        <v>7</v>
      </c>
      <c r="W32" s="1"/>
      <c r="X32" s="1">
        <v>5</v>
      </c>
      <c r="Y32" s="1">
        <v>0</v>
      </c>
      <c r="Z32" s="1">
        <v>0</v>
      </c>
      <c r="AA32" s="1">
        <f>SUM(X32:Y32:Z32)</f>
        <v>5</v>
      </c>
    </row>
    <row r="33" spans="1:27" x14ac:dyDescent="0.3">
      <c r="A33" t="str">
        <f t="shared" si="4"/>
        <v>Himachal Pradesh</v>
      </c>
      <c r="B33" s="1" t="s">
        <v>17</v>
      </c>
      <c r="C33" s="1">
        <v>0</v>
      </c>
      <c r="D33" s="1">
        <v>0</v>
      </c>
      <c r="E33" s="1">
        <v>0</v>
      </c>
      <c r="F33" s="1">
        <v>0</v>
      </c>
      <c r="G33" s="1">
        <f>SUM(D33:E33:F33)</f>
        <v>0</v>
      </c>
      <c r="H33" s="1"/>
      <c r="I33" s="1">
        <v>0</v>
      </c>
      <c r="J33" s="1">
        <v>0</v>
      </c>
      <c r="K33" s="1">
        <v>0</v>
      </c>
      <c r="L33" s="1">
        <f>SUM(I33:J33:K33)</f>
        <v>0</v>
      </c>
      <c r="M33" s="1"/>
      <c r="N33" s="1">
        <v>0</v>
      </c>
      <c r="O33" s="1">
        <v>0</v>
      </c>
      <c r="P33" s="1">
        <v>0</v>
      </c>
      <c r="Q33" s="1">
        <f>SUM(N33:O33:P33)</f>
        <v>0</v>
      </c>
      <c r="R33" s="1"/>
      <c r="S33" s="6">
        <f>D33-I33-N33</f>
        <v>0</v>
      </c>
      <c r="T33" s="6">
        <f>E33-J33-O33</f>
        <v>0</v>
      </c>
      <c r="U33" s="6">
        <f>F33-K33-P33</f>
        <v>0</v>
      </c>
      <c r="V33" s="6">
        <f>SUM(S33:T33:U33)</f>
        <v>0</v>
      </c>
      <c r="W33" s="1"/>
      <c r="X33" s="1">
        <v>0</v>
      </c>
      <c r="Y33" s="1">
        <v>0</v>
      </c>
      <c r="Z33" s="1">
        <v>0</v>
      </c>
      <c r="AA33" s="1">
        <v>0</v>
      </c>
    </row>
    <row r="34" spans="1:27" s="9" customFormat="1" x14ac:dyDescent="0.3">
      <c r="A34" s="9" t="str">
        <f t="shared" si="4"/>
        <v>Himachal Pradesh</v>
      </c>
      <c r="B34" s="8" t="s">
        <v>13</v>
      </c>
      <c r="C34" s="8">
        <f>SUM(C31:C32:C33)</f>
        <v>4</v>
      </c>
      <c r="D34" s="8">
        <f>SUM(D31:D32:D33)</f>
        <v>44</v>
      </c>
      <c r="E34" s="8">
        <f>SUM(E31:E32:E33)</f>
        <v>5</v>
      </c>
      <c r="F34" s="8">
        <f>SUM(F31:F32:F33)</f>
        <v>1</v>
      </c>
      <c r="G34" s="8">
        <f>SUM(G31:G32:G33)</f>
        <v>50</v>
      </c>
      <c r="H34" s="8"/>
      <c r="I34" s="8">
        <f>SUM(I31:I32:I33)</f>
        <v>9</v>
      </c>
      <c r="J34" s="8">
        <f>SUM(J31:J32:J33)</f>
        <v>0</v>
      </c>
      <c r="K34" s="8">
        <f>SUM(K31:K32:K33)</f>
        <v>1</v>
      </c>
      <c r="L34" s="8">
        <f>SUM(L31:L32:L33)</f>
        <v>10</v>
      </c>
      <c r="M34" s="8"/>
      <c r="N34" s="8">
        <f>SUM(N31:N32:N33)</f>
        <v>2</v>
      </c>
      <c r="O34" s="8">
        <f>SUM(O31:O32:O33)</f>
        <v>0</v>
      </c>
      <c r="P34" s="8">
        <f>SUM(K31:K32:K33)</f>
        <v>1</v>
      </c>
      <c r="Q34" s="8">
        <f>SUM(Q31:Q32:Q33)</f>
        <v>2</v>
      </c>
      <c r="R34" s="8"/>
      <c r="S34" s="8">
        <f>SUM(S31:S32:S33)</f>
        <v>33</v>
      </c>
      <c r="T34" s="8">
        <f>SUM(T31:T32:T33)</f>
        <v>5</v>
      </c>
      <c r="U34" s="8">
        <f>SUM(U31:U32:U33)</f>
        <v>0</v>
      </c>
      <c r="V34" s="8">
        <f>SUM(V31:V32:V33)</f>
        <v>38</v>
      </c>
      <c r="W34" s="8"/>
      <c r="X34" s="8">
        <f>SUM(X31:X32:X33)</f>
        <v>26</v>
      </c>
      <c r="Y34" s="8">
        <f>SUM(Y31:Y32:Y33)</f>
        <v>4</v>
      </c>
      <c r="Z34" s="8">
        <f>SUM(Z31:Z32:Z33)</f>
        <v>0</v>
      </c>
      <c r="AA34" s="8">
        <f>SUM(AA31:AA32:AA33)</f>
        <v>30</v>
      </c>
    </row>
    <row r="35" spans="1:27" x14ac:dyDescent="0.3">
      <c r="A35" s="1" t="s">
        <v>25</v>
      </c>
      <c r="B35" s="1" t="s">
        <v>15</v>
      </c>
      <c r="C35" s="1">
        <v>6</v>
      </c>
      <c r="D35" s="1">
        <v>97</v>
      </c>
      <c r="E35" s="1">
        <v>6</v>
      </c>
      <c r="F35" s="1">
        <v>0</v>
      </c>
      <c r="G35" s="1">
        <f>SUM(D35:E35:F35)</f>
        <v>103</v>
      </c>
      <c r="H35" s="1"/>
      <c r="I35" s="1">
        <v>15</v>
      </c>
      <c r="J35" s="1">
        <v>2</v>
      </c>
      <c r="K35" s="1">
        <v>0</v>
      </c>
      <c r="L35" s="1">
        <f>SUM(I35:J35:K35)</f>
        <v>17</v>
      </c>
      <c r="M35" s="1"/>
      <c r="N35" s="1">
        <v>8</v>
      </c>
      <c r="O35" s="1">
        <v>1</v>
      </c>
      <c r="P35" s="1">
        <v>0</v>
      </c>
      <c r="Q35" s="1">
        <f>SUM(N35:O35:P35)</f>
        <v>9</v>
      </c>
      <c r="R35" s="1"/>
      <c r="S35" s="6">
        <f>D35-I35-N35</f>
        <v>74</v>
      </c>
      <c r="T35" s="6">
        <f>E35-J35-O35</f>
        <v>3</v>
      </c>
      <c r="U35" s="6">
        <f>F35-K35-P35</f>
        <v>0</v>
      </c>
      <c r="V35" s="6">
        <f>SUM(S35:T35:U35)</f>
        <v>77</v>
      </c>
      <c r="W35" s="1"/>
      <c r="X35" s="1">
        <v>61</v>
      </c>
      <c r="Y35" s="1">
        <v>2</v>
      </c>
      <c r="Z35" s="1">
        <v>0</v>
      </c>
      <c r="AA35" s="1">
        <f>SUM(X35:Y35:Z35)</f>
        <v>63</v>
      </c>
    </row>
    <row r="36" spans="1:27" x14ac:dyDescent="0.3">
      <c r="A36" t="str">
        <f t="shared" ref="A36:A38" si="5">A35</f>
        <v>Jammu &amp; Kashmir</v>
      </c>
      <c r="B36" s="1" t="s">
        <v>16</v>
      </c>
      <c r="C36" s="1">
        <v>0</v>
      </c>
      <c r="D36" s="1">
        <v>0</v>
      </c>
      <c r="E36" s="1">
        <v>0</v>
      </c>
      <c r="F36" s="1">
        <v>0</v>
      </c>
      <c r="G36" s="1">
        <f>SUM(D36:E36:F36)</f>
        <v>0</v>
      </c>
      <c r="H36" s="1"/>
      <c r="I36" s="1">
        <v>0</v>
      </c>
      <c r="J36" s="1">
        <v>0</v>
      </c>
      <c r="K36" s="1">
        <v>0</v>
      </c>
      <c r="L36" s="1">
        <f>SUM(I36:J36:K36)</f>
        <v>0</v>
      </c>
      <c r="M36" s="1"/>
      <c r="N36" s="1">
        <v>0</v>
      </c>
      <c r="O36" s="1">
        <v>0</v>
      </c>
      <c r="P36" s="1">
        <v>0</v>
      </c>
      <c r="Q36" s="1">
        <f>SUM(N36:O36:P36)</f>
        <v>0</v>
      </c>
      <c r="R36" s="1"/>
      <c r="S36" s="6">
        <f>D36-I36-N36</f>
        <v>0</v>
      </c>
      <c r="T36" s="6">
        <f>E36-J36-O36</f>
        <v>0</v>
      </c>
      <c r="U36" s="6">
        <f>F36-K36-P36</f>
        <v>0</v>
      </c>
      <c r="V36" s="6">
        <f>SUM(S36:T36:U36)</f>
        <v>0</v>
      </c>
      <c r="W36" s="1"/>
      <c r="X36" s="1">
        <v>0</v>
      </c>
      <c r="Y36" s="1">
        <v>0</v>
      </c>
      <c r="Z36" s="1">
        <v>0</v>
      </c>
      <c r="AA36" s="1">
        <f>SUM(X36:Y36:Z36)</f>
        <v>0</v>
      </c>
    </row>
    <row r="37" spans="1:27" x14ac:dyDescent="0.3">
      <c r="A37" t="str">
        <f t="shared" si="5"/>
        <v>Jammu &amp; Kashmir</v>
      </c>
      <c r="B37" s="1" t="s">
        <v>17</v>
      </c>
      <c r="C37" s="1">
        <v>0</v>
      </c>
      <c r="D37" s="1">
        <v>0</v>
      </c>
      <c r="E37" s="1">
        <v>0</v>
      </c>
      <c r="F37" s="1">
        <v>0</v>
      </c>
      <c r="G37" s="1">
        <f>SUM(D37:E37:F37)</f>
        <v>0</v>
      </c>
      <c r="H37" s="1"/>
      <c r="I37" s="1">
        <v>0</v>
      </c>
      <c r="J37" s="1">
        <v>0</v>
      </c>
      <c r="K37" s="1">
        <v>0</v>
      </c>
      <c r="L37" s="1">
        <f>SUM(I37:J37:K37)</f>
        <v>0</v>
      </c>
      <c r="M37" s="1"/>
      <c r="N37" s="1">
        <v>0</v>
      </c>
      <c r="O37" s="1">
        <v>0</v>
      </c>
      <c r="P37" s="1">
        <v>0</v>
      </c>
      <c r="Q37" s="1">
        <f>SUM(N37:O37:P37)</f>
        <v>0</v>
      </c>
      <c r="R37" s="1"/>
      <c r="S37" s="6">
        <f>D37-I37-N37</f>
        <v>0</v>
      </c>
      <c r="T37" s="6">
        <f>E37-J37-O37</f>
        <v>0</v>
      </c>
      <c r="U37" s="6">
        <f>F37-K37-P37</f>
        <v>0</v>
      </c>
      <c r="V37" s="6">
        <f>SUM(S37:T37:U37)</f>
        <v>0</v>
      </c>
      <c r="W37" s="1"/>
      <c r="X37" s="1">
        <v>0</v>
      </c>
      <c r="Y37" s="1">
        <v>0</v>
      </c>
      <c r="Z37" s="1">
        <v>0</v>
      </c>
      <c r="AA37" s="1">
        <f>SUM(X37:Y37:Z37)</f>
        <v>0</v>
      </c>
    </row>
    <row r="38" spans="1:27" s="9" customFormat="1" x14ac:dyDescent="0.3">
      <c r="A38" s="9" t="str">
        <f t="shared" si="5"/>
        <v>Jammu &amp; Kashmir</v>
      </c>
      <c r="B38" s="8" t="s">
        <v>13</v>
      </c>
      <c r="C38" s="8">
        <f>SUM(C35:C36:C37)</f>
        <v>6</v>
      </c>
      <c r="D38" s="8">
        <f>SUM(D35:D36:D37)</f>
        <v>97</v>
      </c>
      <c r="E38" s="8">
        <f>SUM(E35:E36:E37)</f>
        <v>6</v>
      </c>
      <c r="F38" s="8">
        <f>SUM(F35:F36:F37)</f>
        <v>0</v>
      </c>
      <c r="G38" s="8">
        <f>SUM(G35:G36:G37)</f>
        <v>103</v>
      </c>
      <c r="H38" s="8"/>
      <c r="I38" s="8">
        <f>SUM(I35:I36:I37)</f>
        <v>15</v>
      </c>
      <c r="J38" s="8">
        <f>SUM(J35:J36:J37)</f>
        <v>2</v>
      </c>
      <c r="K38" s="8">
        <f>SUM(K35:K36:K37)</f>
        <v>0</v>
      </c>
      <c r="L38" s="8">
        <f>SUM(L35:L36:L37)</f>
        <v>17</v>
      </c>
      <c r="M38" s="8"/>
      <c r="N38" s="8">
        <f>SUM(N35:N36:N37)</f>
        <v>8</v>
      </c>
      <c r="O38" s="8">
        <f>SUM(O35:O36:O37)</f>
        <v>1</v>
      </c>
      <c r="P38" s="8">
        <f>SUM(K35:K36:K37)</f>
        <v>0</v>
      </c>
      <c r="Q38" s="8">
        <f>SUM(Q35:Q36:Q37)</f>
        <v>9</v>
      </c>
      <c r="R38" s="8"/>
      <c r="S38" s="8">
        <f>SUM(S35:S36:S37)</f>
        <v>74</v>
      </c>
      <c r="T38" s="8">
        <f>SUM(T35:T36:T37)</f>
        <v>3</v>
      </c>
      <c r="U38" s="8">
        <f>SUM(U35:U36:U37)</f>
        <v>0</v>
      </c>
      <c r="V38" s="8">
        <f>SUM(V35:V36:V37)</f>
        <v>77</v>
      </c>
      <c r="W38" s="8"/>
      <c r="X38" s="8">
        <f>SUM(X35:X36:X37)</f>
        <v>61</v>
      </c>
      <c r="Y38" s="8">
        <f>SUM(Y35:Y36:Y37)</f>
        <v>2</v>
      </c>
      <c r="Z38" s="8">
        <f>SUM(Z35:Z36:Z37)</f>
        <v>0</v>
      </c>
      <c r="AA38" s="8">
        <f>SUM(AA35:AA36:AA37)</f>
        <v>63</v>
      </c>
    </row>
    <row r="39" spans="1:27" x14ac:dyDescent="0.3">
      <c r="A39" s="1" t="s">
        <v>26</v>
      </c>
      <c r="B39" s="1" t="s">
        <v>15</v>
      </c>
      <c r="C39" s="1">
        <v>21</v>
      </c>
      <c r="D39" s="1">
        <v>433</v>
      </c>
      <c r="E39" s="1">
        <v>25</v>
      </c>
      <c r="F39" s="1">
        <v>0</v>
      </c>
      <c r="G39" s="1">
        <f>SUM(D39:E39:F39)</f>
        <v>458</v>
      </c>
      <c r="H39" s="1"/>
      <c r="I39" s="1">
        <v>25</v>
      </c>
      <c r="J39" s="1">
        <v>4</v>
      </c>
      <c r="K39" s="1">
        <v>0</v>
      </c>
      <c r="L39" s="1">
        <f>SUM(I39:J39:K39)</f>
        <v>29</v>
      </c>
      <c r="M39" s="1"/>
      <c r="N39" s="1">
        <v>87</v>
      </c>
      <c r="O39" s="1">
        <v>3</v>
      </c>
      <c r="P39" s="1">
        <v>0</v>
      </c>
      <c r="Q39" s="1">
        <f>SUM(N39:O39:P39)</f>
        <v>90</v>
      </c>
      <c r="R39" s="1"/>
      <c r="S39" s="6">
        <f>D39-I39-N39</f>
        <v>321</v>
      </c>
      <c r="T39" s="6">
        <f>E39-J39-O39</f>
        <v>18</v>
      </c>
      <c r="U39" s="6">
        <f>F39-K39-P39</f>
        <v>0</v>
      </c>
      <c r="V39" s="6">
        <f>SUM(S39:T39:U39)</f>
        <v>339</v>
      </c>
      <c r="W39" s="1"/>
      <c r="X39" s="1">
        <v>279</v>
      </c>
      <c r="Y39" s="1">
        <v>14</v>
      </c>
      <c r="Z39" s="1">
        <v>0</v>
      </c>
      <c r="AA39" s="1">
        <f>SUM(X39:Y39:Z39)</f>
        <v>293</v>
      </c>
    </row>
    <row r="40" spans="1:27" x14ac:dyDescent="0.3">
      <c r="A40" t="str">
        <f t="shared" ref="A40:A42" si="6">A39</f>
        <v>Karnataka</v>
      </c>
      <c r="B40" s="1" t="s">
        <v>16</v>
      </c>
      <c r="C40" s="1">
        <v>5</v>
      </c>
      <c r="D40" s="1">
        <v>101</v>
      </c>
      <c r="E40" s="1">
        <v>2</v>
      </c>
      <c r="F40" s="1">
        <v>1</v>
      </c>
      <c r="G40" s="1">
        <f>SUM(D40:E40:F40)</f>
        <v>104</v>
      </c>
      <c r="H40" s="1"/>
      <c r="I40" s="1">
        <v>12</v>
      </c>
      <c r="J40" s="1">
        <v>0</v>
      </c>
      <c r="K40" s="1">
        <v>0</v>
      </c>
      <c r="L40" s="1">
        <f>SUM(I40:J40:K40)</f>
        <v>12</v>
      </c>
      <c r="M40" s="1"/>
      <c r="N40" s="1">
        <v>20</v>
      </c>
      <c r="O40" s="1">
        <v>0</v>
      </c>
      <c r="P40" s="1">
        <v>0</v>
      </c>
      <c r="Q40" s="1">
        <f>SUM(N40:O40:P40)</f>
        <v>20</v>
      </c>
      <c r="R40" s="1"/>
      <c r="S40" s="6">
        <f>D40-I40-N40</f>
        <v>69</v>
      </c>
      <c r="T40" s="6">
        <f>E40-J40-O40</f>
        <v>2</v>
      </c>
      <c r="U40" s="6">
        <f>F40-K40-P40</f>
        <v>1</v>
      </c>
      <c r="V40" s="6">
        <f>SUM(S40:T40:U40)</f>
        <v>72</v>
      </c>
      <c r="W40" s="1"/>
      <c r="X40" s="1">
        <v>57</v>
      </c>
      <c r="Y40" s="1">
        <v>2</v>
      </c>
      <c r="Z40" s="1">
        <v>1</v>
      </c>
      <c r="AA40" s="1">
        <f>SUM(X40:Y40:Z40)</f>
        <v>60</v>
      </c>
    </row>
    <row r="41" spans="1:27" x14ac:dyDescent="0.3">
      <c r="A41" t="str">
        <f t="shared" si="6"/>
        <v>Karnataka</v>
      </c>
      <c r="B41" s="1" t="s">
        <v>17</v>
      </c>
      <c r="C41" s="1">
        <v>2</v>
      </c>
      <c r="D41" s="1">
        <v>27</v>
      </c>
      <c r="E41" s="1">
        <v>0</v>
      </c>
      <c r="F41" s="1">
        <v>0</v>
      </c>
      <c r="G41" s="1">
        <f>SUM(D41:E41:F41)</f>
        <v>27</v>
      </c>
      <c r="H41" s="1"/>
      <c r="I41" s="1">
        <v>3</v>
      </c>
      <c r="J41" s="1">
        <v>0</v>
      </c>
      <c r="K41" s="1">
        <v>0</v>
      </c>
      <c r="L41" s="1">
        <f>SUM(I41:J41:K41)</f>
        <v>3</v>
      </c>
      <c r="M41" s="1"/>
      <c r="N41" s="1">
        <v>1</v>
      </c>
      <c r="O41" s="1">
        <v>0</v>
      </c>
      <c r="P41" s="1">
        <v>0</v>
      </c>
      <c r="Q41" s="1">
        <f>SUM(N41:O41:P41)</f>
        <v>1</v>
      </c>
      <c r="R41" s="1"/>
      <c r="S41" s="6">
        <f>D41-I41-N41</f>
        <v>23</v>
      </c>
      <c r="T41" s="6">
        <f>E41-J41-O41</f>
        <v>0</v>
      </c>
      <c r="U41" s="6">
        <f>F41-K41-P41</f>
        <v>0</v>
      </c>
      <c r="V41" s="6">
        <f>SUM(S41:T41:U41)</f>
        <v>23</v>
      </c>
      <c r="W41" s="1"/>
      <c r="X41" s="1">
        <v>19</v>
      </c>
      <c r="Y41" s="1">
        <v>0</v>
      </c>
      <c r="Z41" s="1">
        <v>0</v>
      </c>
      <c r="AA41" s="1">
        <f>SUM(X41:Y41:Z41)</f>
        <v>19</v>
      </c>
    </row>
    <row r="42" spans="1:27" s="9" customFormat="1" x14ac:dyDescent="0.3">
      <c r="A42" s="9" t="str">
        <f t="shared" si="6"/>
        <v>Karnataka</v>
      </c>
      <c r="B42" s="8" t="s">
        <v>13</v>
      </c>
      <c r="C42" s="8">
        <f>SUM(C39:C40:C41)</f>
        <v>28</v>
      </c>
      <c r="D42" s="8">
        <f>SUM(D39:D40:D41)</f>
        <v>561</v>
      </c>
      <c r="E42" s="8">
        <f>SUM(E39:E40:E41)</f>
        <v>27</v>
      </c>
      <c r="F42" s="8">
        <f>SUM(F39:F40:F41)</f>
        <v>1</v>
      </c>
      <c r="G42" s="8">
        <f>SUM(G39:G40:G41)</f>
        <v>589</v>
      </c>
      <c r="H42" s="8"/>
      <c r="I42" s="8">
        <f>SUM(I39:I40:I41)</f>
        <v>40</v>
      </c>
      <c r="J42" s="8">
        <f>SUM(J39:J40:J41)</f>
        <v>4</v>
      </c>
      <c r="K42" s="8">
        <f>SUM(K39:K40:K41)</f>
        <v>0</v>
      </c>
      <c r="L42" s="8">
        <f>SUM(L39:L40:L41)</f>
        <v>44</v>
      </c>
      <c r="M42" s="8"/>
      <c r="N42" s="8">
        <f>SUM(N39:N40:N41)</f>
        <v>108</v>
      </c>
      <c r="O42" s="8">
        <f>SUM(O39:O40:O41)</f>
        <v>3</v>
      </c>
      <c r="P42" s="8">
        <f>SUM(K39:K40:K41)</f>
        <v>0</v>
      </c>
      <c r="Q42" s="8">
        <f>SUM(Q39:Q40:Q41)</f>
        <v>111</v>
      </c>
      <c r="R42" s="8"/>
      <c r="S42" s="8">
        <f>SUM(S39:S40:S41)</f>
        <v>413</v>
      </c>
      <c r="T42" s="8">
        <f>SUM(T39:T40:T41)</f>
        <v>20</v>
      </c>
      <c r="U42" s="8">
        <f>SUM(U39:U40:U41)</f>
        <v>1</v>
      </c>
      <c r="V42" s="8">
        <f>SUM(V39:V40:V41)</f>
        <v>434</v>
      </c>
      <c r="W42" s="8"/>
      <c r="X42" s="8">
        <f>SUM(X39:X40:X41)</f>
        <v>355</v>
      </c>
      <c r="Y42" s="8">
        <f>SUM(Y39:Y40:Y41)</f>
        <v>16</v>
      </c>
      <c r="Z42" s="8">
        <f>SUM(Z39:Z40:Z41)</f>
        <v>1</v>
      </c>
      <c r="AA42" s="8">
        <f>SUM(AA39:AA40:AA41)</f>
        <v>372</v>
      </c>
    </row>
    <row r="43" spans="1:27" x14ac:dyDescent="0.3">
      <c r="A43" s="1" t="s">
        <v>27</v>
      </c>
      <c r="B43" s="1" t="s">
        <v>15</v>
      </c>
      <c r="C43" s="1">
        <v>18</v>
      </c>
      <c r="D43" s="1">
        <v>328</v>
      </c>
      <c r="E43" s="1">
        <v>33</v>
      </c>
      <c r="F43" s="1">
        <v>0</v>
      </c>
      <c r="G43" s="1">
        <f>SUM(D43:E43:F43)</f>
        <v>361</v>
      </c>
      <c r="H43" s="1"/>
      <c r="I43" s="1">
        <v>53</v>
      </c>
      <c r="J43" s="1">
        <v>5</v>
      </c>
      <c r="K43" s="1">
        <v>0</v>
      </c>
      <c r="L43" s="1">
        <f>SUM(I43:J43:K43)</f>
        <v>58</v>
      </c>
      <c r="M43" s="1"/>
      <c r="N43" s="1">
        <v>51</v>
      </c>
      <c r="O43" s="1">
        <v>4</v>
      </c>
      <c r="P43" s="1">
        <v>0</v>
      </c>
      <c r="Q43" s="1">
        <f>SUM(N43:O43:P43)</f>
        <v>55</v>
      </c>
      <c r="R43" s="1"/>
      <c r="S43" s="6">
        <f>D43-I43-N43</f>
        <v>224</v>
      </c>
      <c r="T43" s="6">
        <f>E43-J43-O43</f>
        <v>24</v>
      </c>
      <c r="U43" s="6">
        <f>F43-K43-P43</f>
        <v>0</v>
      </c>
      <c r="V43" s="6">
        <f>SUM(S43:T43:U43)</f>
        <v>248</v>
      </c>
      <c r="W43" s="1"/>
      <c r="X43" s="1">
        <v>189</v>
      </c>
      <c r="Y43" s="1">
        <v>21</v>
      </c>
      <c r="Z43" s="1">
        <v>0</v>
      </c>
      <c r="AA43" s="1">
        <f>SUM(X43:Y43:Z43)</f>
        <v>210</v>
      </c>
    </row>
    <row r="44" spans="1:27" x14ac:dyDescent="0.3">
      <c r="A44" t="str">
        <f t="shared" ref="A44:A46" si="7">A43</f>
        <v>Kerala</v>
      </c>
      <c r="B44" s="1" t="s">
        <v>16</v>
      </c>
      <c r="C44" s="1">
        <v>2</v>
      </c>
      <c r="D44" s="1">
        <v>27</v>
      </c>
      <c r="E44" s="1">
        <v>3</v>
      </c>
      <c r="F44" s="1">
        <v>0</v>
      </c>
      <c r="G44" s="1">
        <f>SUM(D44:E44:F44)</f>
        <v>30</v>
      </c>
      <c r="H44" s="1"/>
      <c r="I44" s="1">
        <v>7</v>
      </c>
      <c r="J44" s="1">
        <v>0</v>
      </c>
      <c r="K44" s="1">
        <v>0</v>
      </c>
      <c r="L44" s="1">
        <f>SUM(I44:J44:K44)</f>
        <v>7</v>
      </c>
      <c r="M44" s="1"/>
      <c r="N44" s="1">
        <v>2</v>
      </c>
      <c r="O44" s="1">
        <v>0</v>
      </c>
      <c r="P44" s="1">
        <v>0</v>
      </c>
      <c r="Q44" s="1">
        <f>SUM(N44:O44:P44)</f>
        <v>2</v>
      </c>
      <c r="R44" s="1"/>
      <c r="S44" s="6">
        <f>D44-I44-N44</f>
        <v>18</v>
      </c>
      <c r="T44" s="6">
        <f>E44-J44-O44</f>
        <v>3</v>
      </c>
      <c r="U44" s="6">
        <f>F44-K44-P44</f>
        <v>0</v>
      </c>
      <c r="V44" s="6">
        <f>SUM(S44:T44:U44)</f>
        <v>21</v>
      </c>
      <c r="W44" s="1"/>
      <c r="X44" s="1">
        <v>15</v>
      </c>
      <c r="Y44" s="1">
        <v>2</v>
      </c>
      <c r="Z44" s="1">
        <v>0</v>
      </c>
      <c r="AA44" s="1">
        <f>SUM(X44:Y44:Z44)</f>
        <v>17</v>
      </c>
    </row>
    <row r="45" spans="1:27" x14ac:dyDescent="0.3">
      <c r="A45" t="str">
        <f t="shared" si="7"/>
        <v>Kerala</v>
      </c>
      <c r="B45" s="1" t="s">
        <v>17</v>
      </c>
      <c r="C45" s="1">
        <v>0</v>
      </c>
      <c r="D45" s="1">
        <v>0</v>
      </c>
      <c r="E45" s="1">
        <v>0</v>
      </c>
      <c r="F45" s="1">
        <v>0</v>
      </c>
      <c r="G45" s="1">
        <f>SUM(D45:E45:F45)</f>
        <v>0</v>
      </c>
      <c r="H45" s="1"/>
      <c r="I45" s="1">
        <v>0</v>
      </c>
      <c r="J45" s="1">
        <v>0</v>
      </c>
      <c r="K45" s="1">
        <v>0</v>
      </c>
      <c r="L45" s="1">
        <f>SUM(I45:J45:K45)</f>
        <v>0</v>
      </c>
      <c r="M45" s="1"/>
      <c r="N45" s="1">
        <v>0</v>
      </c>
      <c r="O45" s="1">
        <v>0</v>
      </c>
      <c r="P45" s="1">
        <v>0</v>
      </c>
      <c r="Q45" s="1">
        <f>SUM(N45:O45:P45)</f>
        <v>0</v>
      </c>
      <c r="R45" s="1"/>
      <c r="S45" s="6">
        <f>D45-I45-N45</f>
        <v>0</v>
      </c>
      <c r="T45" s="6">
        <f>E45-J45-O45</f>
        <v>0</v>
      </c>
      <c r="U45" s="6">
        <f>F45-K45-P45</f>
        <v>0</v>
      </c>
      <c r="V45" s="6">
        <f>SUM(S45:T45:U45)</f>
        <v>0</v>
      </c>
      <c r="W45" s="1"/>
      <c r="X45" s="1">
        <v>0</v>
      </c>
      <c r="Y45" s="1">
        <v>0</v>
      </c>
      <c r="Z45" s="1">
        <v>0</v>
      </c>
      <c r="AA45" s="1">
        <f>SUM(X45:Y45:Z45)</f>
        <v>0</v>
      </c>
    </row>
    <row r="46" spans="1:27" s="9" customFormat="1" x14ac:dyDescent="0.3">
      <c r="A46" s="9" t="str">
        <f t="shared" si="7"/>
        <v>Kerala</v>
      </c>
      <c r="B46" s="8" t="s">
        <v>13</v>
      </c>
      <c r="C46" s="8">
        <f>SUM(C43:C44:C45)</f>
        <v>20</v>
      </c>
      <c r="D46" s="8">
        <f>SUM(D43:D44:D45)</f>
        <v>355</v>
      </c>
      <c r="E46" s="8">
        <f>SUM(E43:E44:E45)</f>
        <v>36</v>
      </c>
      <c r="F46" s="8">
        <f>SUM(F43:F44:F45)</f>
        <v>0</v>
      </c>
      <c r="G46" s="8">
        <f>SUM(G43:G44:G45)</f>
        <v>391</v>
      </c>
      <c r="H46" s="8"/>
      <c r="I46" s="8">
        <f>SUM(I43:I44:I45)</f>
        <v>60</v>
      </c>
      <c r="J46" s="8">
        <f>SUM(J43:J44:J45)</f>
        <v>5</v>
      </c>
      <c r="K46" s="8">
        <f>SUM(K43:K44:K45)</f>
        <v>0</v>
      </c>
      <c r="L46" s="8">
        <f>SUM(L43:L44:L45)</f>
        <v>65</v>
      </c>
      <c r="M46" s="8"/>
      <c r="N46" s="8">
        <f>SUM(N43:N44:N45)</f>
        <v>53</v>
      </c>
      <c r="O46" s="8">
        <f>SUM(O43:O44:O45)</f>
        <v>4</v>
      </c>
      <c r="P46" s="8">
        <f>SUM(K43:K44:K45)</f>
        <v>0</v>
      </c>
      <c r="Q46" s="8">
        <f>SUM(Q43:Q44:Q45)</f>
        <v>57</v>
      </c>
      <c r="R46" s="8"/>
      <c r="S46" s="8">
        <f>SUM(S43:S44:S45)</f>
        <v>242</v>
      </c>
      <c r="T46" s="8">
        <f>SUM(T43:T44:T45)</f>
        <v>27</v>
      </c>
      <c r="U46" s="8">
        <f>SUM(U43:U44:U45)</f>
        <v>0</v>
      </c>
      <c r="V46" s="8">
        <f>SUM(V43:V44:V45)</f>
        <v>269</v>
      </c>
      <c r="W46" s="8"/>
      <c r="X46" s="8">
        <f>SUM(X43:X44:X45)</f>
        <v>204</v>
      </c>
      <c r="Y46" s="8">
        <f>SUM(Y43:Y44:Y45)</f>
        <v>23</v>
      </c>
      <c r="Z46" s="8">
        <f>SUM(Z43:Z44:Z45)</f>
        <v>0</v>
      </c>
      <c r="AA46" s="8">
        <f>SUM(AA43:AA44:AA45)</f>
        <v>227</v>
      </c>
    </row>
    <row r="47" spans="1:27" x14ac:dyDescent="0.3">
      <c r="A47" s="1" t="s">
        <v>28</v>
      </c>
      <c r="B47" s="1" t="s">
        <v>15</v>
      </c>
      <c r="C47" s="1">
        <v>19</v>
      </c>
      <c r="D47" s="1">
        <v>302</v>
      </c>
      <c r="E47" s="1">
        <v>26</v>
      </c>
      <c r="F47" s="1">
        <v>0</v>
      </c>
      <c r="G47" s="1">
        <f>SUM(D47:E47:F47)</f>
        <v>328</v>
      </c>
      <c r="H47" s="1"/>
      <c r="I47" s="1">
        <v>21</v>
      </c>
      <c r="J47" s="1">
        <v>1</v>
      </c>
      <c r="K47" s="1">
        <v>0</v>
      </c>
      <c r="L47" s="1">
        <f>SUM(I47:J47:K47)</f>
        <v>22</v>
      </c>
      <c r="M47" s="1"/>
      <c r="N47" s="1">
        <v>30</v>
      </c>
      <c r="O47" s="1">
        <v>0</v>
      </c>
      <c r="P47" s="1">
        <v>0</v>
      </c>
      <c r="Q47" s="1">
        <f>SUM(N47:O47:P47)</f>
        <v>30</v>
      </c>
      <c r="R47" s="1"/>
      <c r="S47" s="6">
        <f>D47-I47-N47</f>
        <v>251</v>
      </c>
      <c r="T47" s="6">
        <f>E47-J47-O47</f>
        <v>25</v>
      </c>
      <c r="U47" s="6">
        <f>F47-K47-P47</f>
        <v>0</v>
      </c>
      <c r="V47" s="6">
        <f>SUM(S47:T47:U47)</f>
        <v>276</v>
      </c>
      <c r="W47" s="1"/>
      <c r="X47" s="1">
        <v>216</v>
      </c>
      <c r="Y47" s="1">
        <v>20</v>
      </c>
      <c r="Z47" s="1">
        <v>0</v>
      </c>
      <c r="AA47" s="1">
        <f>SUM(X47:Y47:Z47)</f>
        <v>236</v>
      </c>
    </row>
    <row r="48" spans="1:27" x14ac:dyDescent="0.3">
      <c r="A48" t="str">
        <f t="shared" ref="A48:A50" si="8">A47</f>
        <v>Madhya Pradesh</v>
      </c>
      <c r="B48" s="1" t="s">
        <v>16</v>
      </c>
      <c r="C48" s="1">
        <v>4</v>
      </c>
      <c r="D48" s="1">
        <v>49</v>
      </c>
      <c r="E48" s="1">
        <v>7</v>
      </c>
      <c r="F48" s="1">
        <v>0</v>
      </c>
      <c r="G48" s="1">
        <f>SUM(D48:E48:F48)</f>
        <v>56</v>
      </c>
      <c r="H48" s="1"/>
      <c r="I48" s="1">
        <v>7</v>
      </c>
      <c r="J48" s="1">
        <v>1</v>
      </c>
      <c r="K48" s="1">
        <v>0</v>
      </c>
      <c r="L48" s="1">
        <f>SUM(I48:J48:K48)</f>
        <v>8</v>
      </c>
      <c r="M48" s="1"/>
      <c r="N48" s="1">
        <v>2</v>
      </c>
      <c r="O48" s="1">
        <v>1</v>
      </c>
      <c r="P48" s="1">
        <v>0</v>
      </c>
      <c r="Q48" s="1">
        <f>SUM(N48:O48:P48)</f>
        <v>3</v>
      </c>
      <c r="R48" s="1"/>
      <c r="S48" s="6">
        <f>D48-I48-N48</f>
        <v>40</v>
      </c>
      <c r="T48" s="6">
        <f>E48-J48-O48</f>
        <v>5</v>
      </c>
      <c r="U48" s="6">
        <f>F48-K48-P48</f>
        <v>0</v>
      </c>
      <c r="V48" s="6">
        <f>SUM(S48:T48:U48)</f>
        <v>45</v>
      </c>
      <c r="W48" s="1"/>
      <c r="X48" s="1">
        <v>33</v>
      </c>
      <c r="Y48" s="1">
        <v>4</v>
      </c>
      <c r="Z48" s="1">
        <v>0</v>
      </c>
      <c r="AA48" s="1">
        <f>SUM(X48:Y48:Z48)</f>
        <v>37</v>
      </c>
    </row>
    <row r="49" spans="1:27" x14ac:dyDescent="0.3">
      <c r="A49" t="str">
        <f t="shared" si="8"/>
        <v>Madhya Pradesh</v>
      </c>
      <c r="B49" s="1" t="s">
        <v>17</v>
      </c>
      <c r="C49" s="1">
        <v>6</v>
      </c>
      <c r="D49" s="1">
        <v>56</v>
      </c>
      <c r="E49" s="1">
        <v>7</v>
      </c>
      <c r="F49" s="1">
        <v>0</v>
      </c>
      <c r="G49" s="1">
        <f>SUM(D49:E49:F49)</f>
        <v>63</v>
      </c>
      <c r="H49" s="1"/>
      <c r="I49" s="1">
        <v>3</v>
      </c>
      <c r="J49" s="1">
        <v>0</v>
      </c>
      <c r="K49" s="1">
        <v>0</v>
      </c>
      <c r="L49" s="1">
        <f>SUM(I49:J49:K49)</f>
        <v>3</v>
      </c>
      <c r="M49" s="1"/>
      <c r="N49" s="1">
        <v>3</v>
      </c>
      <c r="O49" s="1">
        <v>0</v>
      </c>
      <c r="P49" s="1">
        <v>0</v>
      </c>
      <c r="Q49" s="1">
        <f>SUM(N49:O49:P49)</f>
        <v>3</v>
      </c>
      <c r="R49" s="1"/>
      <c r="S49" s="6">
        <f>D49-I49-N49</f>
        <v>50</v>
      </c>
      <c r="T49" s="6">
        <f>E49-J49-O49</f>
        <v>7</v>
      </c>
      <c r="U49" s="6">
        <f>F49-K49-P49</f>
        <v>0</v>
      </c>
      <c r="V49" s="6">
        <f>SUM(S49:T49:U49)</f>
        <v>57</v>
      </c>
      <c r="W49" s="1"/>
      <c r="X49" s="1">
        <v>41</v>
      </c>
      <c r="Y49" s="1">
        <v>4</v>
      </c>
      <c r="Z49" s="1">
        <v>0</v>
      </c>
      <c r="AA49" s="1">
        <f>SUM(X49:Y49:Z49)</f>
        <v>45</v>
      </c>
    </row>
    <row r="50" spans="1:27" s="9" customFormat="1" x14ac:dyDescent="0.3">
      <c r="A50" s="9" t="str">
        <f t="shared" si="8"/>
        <v>Madhya Pradesh</v>
      </c>
      <c r="B50" s="8" t="s">
        <v>13</v>
      </c>
      <c r="C50" s="8">
        <f>SUM(C47:C48:C49)</f>
        <v>29</v>
      </c>
      <c r="D50" s="8">
        <f>SUM(D47:D48:D49)</f>
        <v>407</v>
      </c>
      <c r="E50" s="8">
        <f>SUM(E47:E48:E49)</f>
        <v>40</v>
      </c>
      <c r="F50" s="8">
        <f>SUM(F47:F48:F49)</f>
        <v>0</v>
      </c>
      <c r="G50" s="8">
        <f>SUM(G47:G48:G49)</f>
        <v>447</v>
      </c>
      <c r="H50" s="8"/>
      <c r="I50" s="8">
        <f>SUM(I47:I48:I49)</f>
        <v>31</v>
      </c>
      <c r="J50" s="8">
        <f>SUM(J47:J48:J49)</f>
        <v>2</v>
      </c>
      <c r="K50" s="8">
        <f>SUM(K47:K48:K49)</f>
        <v>0</v>
      </c>
      <c r="L50" s="8">
        <f>SUM(L47:L48:L49)</f>
        <v>33</v>
      </c>
      <c r="M50" s="8"/>
      <c r="N50" s="8">
        <f>SUM(N47:N48:N49)</f>
        <v>35</v>
      </c>
      <c r="O50" s="8">
        <f>SUM(O47:O48:O49)</f>
        <v>1</v>
      </c>
      <c r="P50" s="8">
        <f>SUM(K47:K48:K49)</f>
        <v>0</v>
      </c>
      <c r="Q50" s="8">
        <f>SUM(Q47:Q48:Q49)</f>
        <v>36</v>
      </c>
      <c r="R50" s="8"/>
      <c r="S50" s="8">
        <f>SUM(S47:S48:S49)</f>
        <v>341</v>
      </c>
      <c r="T50" s="8">
        <f>SUM(T47:T48:T49)</f>
        <v>37</v>
      </c>
      <c r="U50" s="8">
        <f>SUM(U47:U48:U49)</f>
        <v>0</v>
      </c>
      <c r="V50" s="8">
        <f>SUM(V47:V48:V49)</f>
        <v>378</v>
      </c>
      <c r="W50" s="8"/>
      <c r="X50" s="8">
        <f>SUM(X47:X48:X49)</f>
        <v>290</v>
      </c>
      <c r="Y50" s="8">
        <f>SUM(Y47:Y48:Y49)</f>
        <v>28</v>
      </c>
      <c r="Z50" s="8">
        <f>SUM(Z47:Z48:Z49)</f>
        <v>0</v>
      </c>
      <c r="AA50" s="8">
        <f>SUM(AA47:AA48:AA49)</f>
        <v>318</v>
      </c>
    </row>
    <row r="51" spans="1:27" x14ac:dyDescent="0.3">
      <c r="A51" s="1" t="s">
        <v>29</v>
      </c>
      <c r="B51" s="1" t="s">
        <v>15</v>
      </c>
      <c r="C51" s="1">
        <v>39</v>
      </c>
      <c r="D51" s="1">
        <v>1143</v>
      </c>
      <c r="E51" s="1">
        <v>87</v>
      </c>
      <c r="F51" s="1">
        <v>1</v>
      </c>
      <c r="G51" s="1">
        <f>SUM(D51:E51:F51)</f>
        <v>1231</v>
      </c>
      <c r="H51" s="1"/>
      <c r="I51" s="1">
        <v>146</v>
      </c>
      <c r="J51" s="1">
        <v>13</v>
      </c>
      <c r="K51" s="1">
        <v>0</v>
      </c>
      <c r="L51" s="1">
        <f>SUM(I51:J51:K51)</f>
        <v>159</v>
      </c>
      <c r="M51" s="1"/>
      <c r="N51" s="1">
        <v>285</v>
      </c>
      <c r="O51" s="1">
        <v>20</v>
      </c>
      <c r="P51" s="1">
        <v>0</v>
      </c>
      <c r="Q51" s="1">
        <f>SUM(N51:O51:P51)</f>
        <v>305</v>
      </c>
      <c r="R51" s="1"/>
      <c r="S51" s="6">
        <f>D51-I51-N51</f>
        <v>712</v>
      </c>
      <c r="T51" s="6">
        <f>E51-J51-O51</f>
        <v>54</v>
      </c>
      <c r="U51" s="6">
        <f>F51-K51-P51</f>
        <v>1</v>
      </c>
      <c r="V51" s="6">
        <f>SUM(S51:T51:U51)</f>
        <v>767</v>
      </c>
      <c r="W51" s="1"/>
      <c r="X51" s="1">
        <v>638</v>
      </c>
      <c r="Y51" s="1">
        <v>49</v>
      </c>
      <c r="Z51" s="1">
        <v>1</v>
      </c>
      <c r="AA51" s="1">
        <f>SUM(X51:Y51:Z51)</f>
        <v>688</v>
      </c>
    </row>
    <row r="52" spans="1:27" x14ac:dyDescent="0.3">
      <c r="A52" t="str">
        <f t="shared" ref="A52:A54" si="9">A51</f>
        <v>Maharashtra</v>
      </c>
      <c r="B52" s="1" t="s">
        <v>16</v>
      </c>
      <c r="C52" s="1">
        <v>5</v>
      </c>
      <c r="D52" s="1">
        <v>147</v>
      </c>
      <c r="E52" s="1">
        <v>19</v>
      </c>
      <c r="F52" s="1">
        <v>0</v>
      </c>
      <c r="G52" s="1">
        <f>SUM(D52:E52:F52)</f>
        <v>166</v>
      </c>
      <c r="H52" s="1"/>
      <c r="I52" s="1">
        <v>13</v>
      </c>
      <c r="J52" s="1">
        <v>2</v>
      </c>
      <c r="K52" s="1">
        <v>0</v>
      </c>
      <c r="L52" s="1">
        <f>SUM(I52:J52:K52)</f>
        <v>15</v>
      </c>
      <c r="M52" s="1"/>
      <c r="N52" s="1">
        <v>57</v>
      </c>
      <c r="O52" s="1">
        <v>4</v>
      </c>
      <c r="P52" s="1">
        <v>0</v>
      </c>
      <c r="Q52" s="1">
        <f>SUM(N52:O52:P52)</f>
        <v>61</v>
      </c>
      <c r="R52" s="1"/>
      <c r="S52" s="6">
        <f>D52-I52-N52</f>
        <v>77</v>
      </c>
      <c r="T52" s="6">
        <f>E52-J52-O52</f>
        <v>13</v>
      </c>
      <c r="U52" s="6">
        <f>F52-K52-P52</f>
        <v>0</v>
      </c>
      <c r="V52" s="6">
        <f>SUM(S52:T52:U52)</f>
        <v>90</v>
      </c>
      <c r="W52" s="1"/>
      <c r="X52" s="1">
        <v>68</v>
      </c>
      <c r="Y52" s="1">
        <v>12</v>
      </c>
      <c r="Z52" s="1">
        <v>0</v>
      </c>
      <c r="AA52" s="1">
        <f>SUM(X52:Y52:Z52)</f>
        <v>80</v>
      </c>
    </row>
    <row r="53" spans="1:27" x14ac:dyDescent="0.3">
      <c r="A53" t="str">
        <f t="shared" si="9"/>
        <v>Maharashtra</v>
      </c>
      <c r="B53" s="1" t="s">
        <v>17</v>
      </c>
      <c r="C53" s="1">
        <v>4</v>
      </c>
      <c r="D53" s="1">
        <v>55</v>
      </c>
      <c r="E53" s="1">
        <v>6</v>
      </c>
      <c r="F53" s="1">
        <v>0</v>
      </c>
      <c r="G53" s="1">
        <f>SUM(D53:E53:F53)</f>
        <v>61</v>
      </c>
      <c r="H53" s="1"/>
      <c r="I53" s="1">
        <v>10</v>
      </c>
      <c r="J53" s="1">
        <v>2</v>
      </c>
      <c r="K53" s="1">
        <v>0</v>
      </c>
      <c r="L53" s="1">
        <f>SUM(I53:J53:K53)</f>
        <v>12</v>
      </c>
      <c r="M53" s="1"/>
      <c r="N53" s="1">
        <v>7</v>
      </c>
      <c r="O53" s="1">
        <v>2</v>
      </c>
      <c r="P53" s="1">
        <v>0</v>
      </c>
      <c r="Q53" s="1">
        <f>SUM(N53:O53:P53)</f>
        <v>9</v>
      </c>
      <c r="R53" s="1"/>
      <c r="S53" s="6">
        <f>D53-I53-N53</f>
        <v>38</v>
      </c>
      <c r="T53" s="6">
        <f>E53-J53-O53</f>
        <v>2</v>
      </c>
      <c r="U53" s="6">
        <f>F53-K53-P53</f>
        <v>0</v>
      </c>
      <c r="V53" s="6">
        <f>SUM(S53:T53:U53)</f>
        <v>40</v>
      </c>
      <c r="W53" s="1"/>
      <c r="X53" s="1">
        <v>32</v>
      </c>
      <c r="Y53" s="1">
        <v>0</v>
      </c>
      <c r="Z53" s="1">
        <v>0</v>
      </c>
      <c r="AA53" s="1">
        <f>SUM(X53:Y53:Z53)</f>
        <v>32</v>
      </c>
    </row>
    <row r="54" spans="1:27" s="9" customFormat="1" x14ac:dyDescent="0.3">
      <c r="A54" s="9" t="str">
        <f t="shared" si="9"/>
        <v>Maharashtra</v>
      </c>
      <c r="B54" s="8" t="s">
        <v>13</v>
      </c>
      <c r="C54" s="8">
        <f>SUM(C51:C52:C53)</f>
        <v>48</v>
      </c>
      <c r="D54" s="8">
        <f>SUM(D51:D52:D53)</f>
        <v>1345</v>
      </c>
      <c r="E54" s="8">
        <f>SUM(E51:E52:E53)</f>
        <v>112</v>
      </c>
      <c r="F54" s="8">
        <f>SUM(F51:F52:F53)</f>
        <v>1</v>
      </c>
      <c r="G54" s="8">
        <f>SUM(G51:G52:G53)</f>
        <v>1458</v>
      </c>
      <c r="H54" s="8"/>
      <c r="I54" s="8">
        <f>SUM(I51:I52:I53)</f>
        <v>169</v>
      </c>
      <c r="J54" s="8">
        <f>SUM(J51:J52:J53)</f>
        <v>17</v>
      </c>
      <c r="K54" s="8">
        <f>SUM(K51:K52:K53)</f>
        <v>0</v>
      </c>
      <c r="L54" s="8">
        <f>SUM(L51:L52:L53)</f>
        <v>186</v>
      </c>
      <c r="M54" s="8"/>
      <c r="N54" s="8">
        <f>SUM(N51:N52:N53)</f>
        <v>349</v>
      </c>
      <c r="O54" s="8">
        <f>SUM(O51:O52:O53)</f>
        <v>26</v>
      </c>
      <c r="P54" s="8">
        <f>SUM(K51:K52:K53)</f>
        <v>0</v>
      </c>
      <c r="Q54" s="8">
        <f>SUM(Q51:Q52:Q53)</f>
        <v>375</v>
      </c>
      <c r="R54" s="8"/>
      <c r="S54" s="8">
        <f>SUM(S51:S52:S53)</f>
        <v>827</v>
      </c>
      <c r="T54" s="8">
        <f>SUM(T51:T52:T53)</f>
        <v>69</v>
      </c>
      <c r="U54" s="8">
        <f>SUM(U51:U52:U53)</f>
        <v>1</v>
      </c>
      <c r="V54" s="8">
        <f>SUM(V51:V52:V53)</f>
        <v>897</v>
      </c>
      <c r="W54" s="8"/>
      <c r="X54" s="8">
        <f>SUM(X51:X52:X53)</f>
        <v>738</v>
      </c>
      <c r="Y54" s="8">
        <f>SUM(Y51:Y52:Y53)</f>
        <v>61</v>
      </c>
      <c r="Z54" s="8">
        <f>SUM(Z51:Z52:Z53)</f>
        <v>1</v>
      </c>
      <c r="AA54" s="8">
        <f>SUM(AA51:AA52:AA53)</f>
        <v>800</v>
      </c>
    </row>
    <row r="55" spans="1:27" x14ac:dyDescent="0.3">
      <c r="A55" s="1" t="s">
        <v>30</v>
      </c>
      <c r="B55" s="1" t="s">
        <v>15</v>
      </c>
      <c r="C55" s="1">
        <v>1</v>
      </c>
      <c r="D55" s="1">
        <v>7</v>
      </c>
      <c r="E55" s="1">
        <v>1</v>
      </c>
      <c r="F55" s="1">
        <v>0</v>
      </c>
      <c r="G55" s="1">
        <f>SUM(D55:E55:F55)</f>
        <v>8</v>
      </c>
      <c r="H55" s="1"/>
      <c r="I55" s="1">
        <v>0</v>
      </c>
      <c r="J55" s="1">
        <v>0</v>
      </c>
      <c r="K55" s="1">
        <v>0</v>
      </c>
      <c r="L55" s="1">
        <f>SUM(I55:J55:K55)</f>
        <v>0</v>
      </c>
      <c r="M55" s="1"/>
      <c r="N55" s="1">
        <v>0</v>
      </c>
      <c r="O55" s="1">
        <v>0</v>
      </c>
      <c r="P55" s="1">
        <v>0</v>
      </c>
      <c r="Q55" s="1">
        <f>SUM(N55:O55:P55)</f>
        <v>0</v>
      </c>
      <c r="R55" s="1"/>
      <c r="S55" s="6">
        <f>D55-I55-N55</f>
        <v>7</v>
      </c>
      <c r="T55" s="6">
        <f>E55-J55-O55</f>
        <v>1</v>
      </c>
      <c r="U55" s="6">
        <f>F55-K55-P55</f>
        <v>0</v>
      </c>
      <c r="V55" s="6">
        <f>SUM(S55:T55:U55)</f>
        <v>8</v>
      </c>
      <c r="W55" s="1"/>
      <c r="X55" s="1">
        <v>5</v>
      </c>
      <c r="Y55" s="1">
        <v>1</v>
      </c>
      <c r="Z55" s="1">
        <v>0</v>
      </c>
      <c r="AA55" s="1">
        <f>SUM(X55:Y55:Z55)</f>
        <v>6</v>
      </c>
    </row>
    <row r="56" spans="1:27" x14ac:dyDescent="0.3">
      <c r="A56" t="str">
        <f t="shared" ref="A56:A58" si="10">A55</f>
        <v>Manipur</v>
      </c>
      <c r="B56" s="1" t="s">
        <v>16</v>
      </c>
      <c r="C56" s="1">
        <v>1</v>
      </c>
      <c r="D56" s="1">
        <v>9</v>
      </c>
      <c r="E56" s="1">
        <v>1</v>
      </c>
      <c r="F56" s="1">
        <v>0</v>
      </c>
      <c r="G56" s="1">
        <f>SUM(D56:E56:F56)</f>
        <v>10</v>
      </c>
      <c r="H56" s="1"/>
      <c r="I56" s="1">
        <v>0</v>
      </c>
      <c r="J56" s="1">
        <v>0</v>
      </c>
      <c r="K56" s="1">
        <v>0</v>
      </c>
      <c r="L56" s="1">
        <f>SUM(I56:J56:K56)</f>
        <v>0</v>
      </c>
      <c r="M56" s="1"/>
      <c r="N56" s="1">
        <v>0</v>
      </c>
      <c r="O56" s="1">
        <v>0</v>
      </c>
      <c r="P56" s="1">
        <v>0</v>
      </c>
      <c r="Q56" s="1">
        <f>SUM(N56:O56:P56)</f>
        <v>0</v>
      </c>
      <c r="R56" s="1"/>
      <c r="S56" s="6">
        <f>D56-I56-N56</f>
        <v>9</v>
      </c>
      <c r="T56" s="6">
        <f>E56-J56-O56</f>
        <v>1</v>
      </c>
      <c r="U56" s="6">
        <f>F56-K56-P56</f>
        <v>0</v>
      </c>
      <c r="V56" s="6">
        <f>SUM(S56:T56:U56)</f>
        <v>10</v>
      </c>
      <c r="W56" s="1"/>
      <c r="X56" s="1">
        <v>7</v>
      </c>
      <c r="Y56" s="1">
        <v>1</v>
      </c>
      <c r="Z56" s="1">
        <v>0</v>
      </c>
      <c r="AA56" s="1">
        <f>SUM(X56:Y56:Z56)</f>
        <v>8</v>
      </c>
    </row>
    <row r="57" spans="1:27" x14ac:dyDescent="0.3">
      <c r="A57" t="str">
        <f t="shared" si="10"/>
        <v>Manipur</v>
      </c>
      <c r="B57" s="1" t="s">
        <v>17</v>
      </c>
      <c r="C57" s="1">
        <v>0</v>
      </c>
      <c r="D57" s="1">
        <v>0</v>
      </c>
      <c r="E57" s="1">
        <v>0</v>
      </c>
      <c r="F57" s="1">
        <v>0</v>
      </c>
      <c r="G57" s="1">
        <f>SUM(D57:E57:F57)</f>
        <v>0</v>
      </c>
      <c r="H57" s="1"/>
      <c r="I57" s="1">
        <v>0</v>
      </c>
      <c r="J57" s="1">
        <v>0</v>
      </c>
      <c r="K57" s="1">
        <v>0</v>
      </c>
      <c r="L57" s="1">
        <f>SUM(I57:J57:K57)</f>
        <v>0</v>
      </c>
      <c r="M57" s="1"/>
      <c r="N57" s="1">
        <v>0</v>
      </c>
      <c r="O57" s="1">
        <v>0</v>
      </c>
      <c r="P57" s="1">
        <v>0</v>
      </c>
      <c r="Q57" s="1">
        <f>SUM(N57:O57:P57)</f>
        <v>0</v>
      </c>
      <c r="R57" s="1"/>
      <c r="S57" s="6">
        <f>D57-I57-N57</f>
        <v>0</v>
      </c>
      <c r="T57" s="6">
        <f>E57-J57-O57</f>
        <v>0</v>
      </c>
      <c r="U57" s="6">
        <f>F57-K57-P57</f>
        <v>0</v>
      </c>
      <c r="V57" s="6">
        <f>SUM(S57:T57:U57)</f>
        <v>0</v>
      </c>
      <c r="W57" s="1"/>
      <c r="X57" s="1">
        <v>0</v>
      </c>
      <c r="Y57" s="1">
        <v>0</v>
      </c>
      <c r="Z57" s="1">
        <v>0</v>
      </c>
      <c r="AA57" s="1">
        <f>SUM(X57:Y57:Z57)</f>
        <v>0</v>
      </c>
    </row>
    <row r="58" spans="1:27" s="9" customFormat="1" x14ac:dyDescent="0.3">
      <c r="A58" s="9" t="str">
        <f t="shared" si="10"/>
        <v>Manipur</v>
      </c>
      <c r="B58" s="8" t="s">
        <v>13</v>
      </c>
      <c r="C58" s="8">
        <f>SUM(C55:C56:C57)</f>
        <v>2</v>
      </c>
      <c r="D58" s="8">
        <f>SUM(D55:D56:D57)</f>
        <v>16</v>
      </c>
      <c r="E58" s="8">
        <f>SUM(E55:E56:E57)</f>
        <v>2</v>
      </c>
      <c r="F58" s="8">
        <f>SUM(F55:F56:F57)</f>
        <v>0</v>
      </c>
      <c r="G58" s="8">
        <f>SUM(G55:G56:G57)</f>
        <v>18</v>
      </c>
      <c r="H58" s="8"/>
      <c r="I58" s="8">
        <f>SUM(I55:I56:I57)</f>
        <v>0</v>
      </c>
      <c r="J58" s="8">
        <f>SUM(J55:J56:J57)</f>
        <v>0</v>
      </c>
      <c r="K58" s="8">
        <f>SUM(K55:K56:K57)</f>
        <v>0</v>
      </c>
      <c r="L58" s="8">
        <f>SUM(L55:L56:L57)</f>
        <v>0</v>
      </c>
      <c r="M58" s="8"/>
      <c r="N58" s="8">
        <f>SUM(N55:N56:N57)</f>
        <v>0</v>
      </c>
      <c r="O58" s="8">
        <f>SUM(O55:O56:O57)</f>
        <v>0</v>
      </c>
      <c r="P58" s="8">
        <f>SUM(K55:K56:K57)</f>
        <v>0</v>
      </c>
      <c r="Q58" s="8">
        <f>SUM(Q55:Q56:Q57)</f>
        <v>0</v>
      </c>
      <c r="R58" s="8"/>
      <c r="S58" s="8">
        <f>SUM(S55:S56:S57)</f>
        <v>16</v>
      </c>
      <c r="T58" s="8">
        <f>SUM(T55:T56:T57)</f>
        <v>2</v>
      </c>
      <c r="U58" s="8">
        <f>SUM(U55:U56:U57)</f>
        <v>0</v>
      </c>
      <c r="V58" s="8">
        <f>SUM(V55:V56:V57)</f>
        <v>18</v>
      </c>
      <c r="W58" s="8"/>
      <c r="X58" s="8">
        <f>SUM(X55:X56:X57)</f>
        <v>12</v>
      </c>
      <c r="Y58" s="8">
        <f>SUM(Y55:Y56:Y57)</f>
        <v>2</v>
      </c>
      <c r="Z58" s="8">
        <f>SUM(Z55:Z56:Z57)</f>
        <v>0</v>
      </c>
      <c r="AA58" s="8">
        <f>SUM(AA55:AA56:AA57)</f>
        <v>14</v>
      </c>
    </row>
    <row r="59" spans="1:27" x14ac:dyDescent="0.3">
      <c r="A59" s="1" t="s">
        <v>31</v>
      </c>
      <c r="B59" s="1" t="s">
        <v>15</v>
      </c>
      <c r="C59" s="1">
        <v>2</v>
      </c>
      <c r="D59" s="1">
        <v>9</v>
      </c>
      <c r="E59" s="1">
        <v>1</v>
      </c>
      <c r="F59" s="1">
        <v>0</v>
      </c>
      <c r="G59" s="1">
        <f>SUM(D59:E59:F59)</f>
        <v>10</v>
      </c>
      <c r="H59" s="1"/>
      <c r="I59" s="1">
        <v>0</v>
      </c>
      <c r="J59" s="1">
        <v>0</v>
      </c>
      <c r="K59" s="1">
        <v>0</v>
      </c>
      <c r="L59" s="1">
        <f>SUM(I59:J59:K59)</f>
        <v>0</v>
      </c>
      <c r="M59" s="1"/>
      <c r="N59" s="1">
        <v>0</v>
      </c>
      <c r="O59" s="1">
        <v>0</v>
      </c>
      <c r="P59" s="1">
        <v>0</v>
      </c>
      <c r="Q59" s="1">
        <f>SUM(N59:O59:P59)</f>
        <v>0</v>
      </c>
      <c r="R59" s="1"/>
      <c r="S59" s="6">
        <f>D59-I59-N59</f>
        <v>9</v>
      </c>
      <c r="T59" s="6">
        <f>E59-J59-O59</f>
        <v>1</v>
      </c>
      <c r="U59" s="6">
        <f>F59-K59-P59</f>
        <v>0</v>
      </c>
      <c r="V59" s="6">
        <f>SUM(S59:T59:U59)</f>
        <v>10</v>
      </c>
      <c r="W59" s="1"/>
      <c r="X59" s="1">
        <v>4</v>
      </c>
      <c r="Y59" s="1">
        <v>1</v>
      </c>
      <c r="Z59" s="1">
        <v>0</v>
      </c>
      <c r="AA59" s="1">
        <f>SUM(X59:Y59:Z59)</f>
        <v>5</v>
      </c>
    </row>
    <row r="60" spans="1:27" x14ac:dyDescent="0.3">
      <c r="A60" t="str">
        <f t="shared" ref="A60:A62" si="11">A59</f>
        <v>Meghalaya</v>
      </c>
      <c r="B60" s="1" t="s">
        <v>16</v>
      </c>
      <c r="C60" s="1">
        <v>0</v>
      </c>
      <c r="D60" s="1">
        <v>0</v>
      </c>
      <c r="E60" s="1">
        <v>0</v>
      </c>
      <c r="F60" s="1">
        <v>0</v>
      </c>
      <c r="G60" s="1">
        <f>SUM(D60:E60:F60)</f>
        <v>0</v>
      </c>
      <c r="H60" s="1"/>
      <c r="I60" s="1">
        <v>0</v>
      </c>
      <c r="J60" s="1">
        <v>0</v>
      </c>
      <c r="K60" s="1">
        <v>0</v>
      </c>
      <c r="L60" s="1">
        <f>SUM(I60:J60:K60)</f>
        <v>0</v>
      </c>
      <c r="M60" s="1"/>
      <c r="N60" s="1">
        <v>0</v>
      </c>
      <c r="O60" s="1">
        <v>0</v>
      </c>
      <c r="P60" s="1">
        <v>0</v>
      </c>
      <c r="Q60" s="1">
        <f>SUM(N60:O60:P60)</f>
        <v>0</v>
      </c>
      <c r="R60" s="1"/>
      <c r="S60" s="6">
        <f>D60-I60-N60</f>
        <v>0</v>
      </c>
      <c r="T60" s="6">
        <f>E60-J60-O60</f>
        <v>0</v>
      </c>
      <c r="U60" s="6">
        <f>F60-K60-P60</f>
        <v>0</v>
      </c>
      <c r="V60" s="6">
        <f>SUM(S60:T60:U60)</f>
        <v>0</v>
      </c>
      <c r="W60" s="1"/>
      <c r="X60" s="1">
        <v>0</v>
      </c>
      <c r="Y60" s="1">
        <v>0</v>
      </c>
      <c r="Z60" s="1">
        <v>0</v>
      </c>
      <c r="AA60" s="1">
        <f>SUM(X60:Y60:Z60)</f>
        <v>0</v>
      </c>
    </row>
    <row r="61" spans="1:27" x14ac:dyDescent="0.3">
      <c r="A61" t="str">
        <f t="shared" si="11"/>
        <v>Meghalaya</v>
      </c>
      <c r="B61" s="1" t="s">
        <v>17</v>
      </c>
      <c r="C61" s="1">
        <v>0</v>
      </c>
      <c r="D61" s="1">
        <v>0</v>
      </c>
      <c r="E61" s="1">
        <v>0</v>
      </c>
      <c r="F61" s="1">
        <v>0</v>
      </c>
      <c r="G61" s="1">
        <f>SUM(D61:E61:F61)</f>
        <v>0</v>
      </c>
      <c r="H61" s="1"/>
      <c r="I61" s="1">
        <v>0</v>
      </c>
      <c r="J61" s="1">
        <v>0</v>
      </c>
      <c r="K61" s="1">
        <v>0</v>
      </c>
      <c r="L61" s="1">
        <f>SUM(I61:J61:K61)</f>
        <v>0</v>
      </c>
      <c r="M61" s="1"/>
      <c r="N61" s="1">
        <v>0</v>
      </c>
      <c r="O61" s="1">
        <v>0</v>
      </c>
      <c r="P61" s="1">
        <v>0</v>
      </c>
      <c r="Q61" s="1">
        <f>SUM(N61:O61:P61)</f>
        <v>0</v>
      </c>
      <c r="R61" s="1"/>
      <c r="S61" s="6">
        <f>D61-I61-N61</f>
        <v>0</v>
      </c>
      <c r="T61" s="6">
        <f>E61-J61-O61</f>
        <v>0</v>
      </c>
      <c r="U61" s="6">
        <f>F61-K61-P61</f>
        <v>0</v>
      </c>
      <c r="V61" s="6">
        <f>SUM(S61:T61:U61)</f>
        <v>0</v>
      </c>
      <c r="W61" s="1"/>
      <c r="X61" s="1">
        <v>0</v>
      </c>
      <c r="Y61" s="1">
        <v>0</v>
      </c>
      <c r="Z61" s="1">
        <v>0</v>
      </c>
      <c r="AA61" s="1">
        <f>SUM(X61:Y61:Z61)</f>
        <v>0</v>
      </c>
    </row>
    <row r="62" spans="1:27" s="9" customFormat="1" x14ac:dyDescent="0.3">
      <c r="A62" s="9" t="str">
        <f t="shared" si="11"/>
        <v>Meghalaya</v>
      </c>
      <c r="B62" s="8" t="s">
        <v>13</v>
      </c>
      <c r="C62" s="8">
        <f>SUM(C59:C60:C61)</f>
        <v>2</v>
      </c>
      <c r="D62" s="8">
        <f>SUM(D59:D60:D61)</f>
        <v>9</v>
      </c>
      <c r="E62" s="8">
        <f>SUM(E59:E60:E61)</f>
        <v>1</v>
      </c>
      <c r="F62" s="8">
        <f>SUM(F59:F60:F61)</f>
        <v>0</v>
      </c>
      <c r="G62" s="8">
        <f>SUM(G59:G60:G61)</f>
        <v>10</v>
      </c>
      <c r="H62" s="8"/>
      <c r="I62" s="8">
        <f>SUM(I59:I60:I61)</f>
        <v>0</v>
      </c>
      <c r="J62" s="8">
        <f>SUM(J59:J60:J61)</f>
        <v>0</v>
      </c>
      <c r="K62" s="8">
        <f>SUM(K59:K60:K61)</f>
        <v>0</v>
      </c>
      <c r="L62" s="8">
        <f>SUM(L59:L60:L61)</f>
        <v>0</v>
      </c>
      <c r="M62" s="8"/>
      <c r="N62" s="8">
        <f>SUM(N59:N60:N61)</f>
        <v>0</v>
      </c>
      <c r="O62" s="8">
        <f>SUM(O59:O60:O61)</f>
        <v>0</v>
      </c>
      <c r="P62" s="8">
        <f>SUM(K59:K60:K61)</f>
        <v>0</v>
      </c>
      <c r="Q62" s="8">
        <f>SUM(Q59:Q60:Q61)</f>
        <v>0</v>
      </c>
      <c r="R62" s="8"/>
      <c r="S62" s="8">
        <f>SUM(S59:S60:S61)</f>
        <v>9</v>
      </c>
      <c r="T62" s="8">
        <f>SUM(T59:T60:T61)</f>
        <v>1</v>
      </c>
      <c r="U62" s="8">
        <f>SUM(U59:U60:U61)</f>
        <v>0</v>
      </c>
      <c r="V62" s="8">
        <f>SUM(V59:V60:V61)</f>
        <v>10</v>
      </c>
      <c r="W62" s="8"/>
      <c r="X62" s="8">
        <f>SUM(X59:X60:X61)</f>
        <v>4</v>
      </c>
      <c r="Y62" s="8">
        <f>SUM(Y59:Y60:Y61)</f>
        <v>1</v>
      </c>
      <c r="Z62" s="8">
        <f>SUM(Z59:Z60:Z61)</f>
        <v>0</v>
      </c>
      <c r="AA62" s="8">
        <f>SUM(AA59:AA60:AA61)</f>
        <v>5</v>
      </c>
    </row>
    <row r="63" spans="1:27" x14ac:dyDescent="0.3">
      <c r="A63" s="1" t="s">
        <v>32</v>
      </c>
      <c r="B63" s="1" t="s">
        <v>15</v>
      </c>
      <c r="C63" s="1">
        <v>1</v>
      </c>
      <c r="D63" s="1">
        <v>4</v>
      </c>
      <c r="E63" s="1">
        <v>0</v>
      </c>
      <c r="F63" s="1">
        <v>0</v>
      </c>
      <c r="G63" s="1">
        <f>SUM(D63:E63:F63)</f>
        <v>4</v>
      </c>
      <c r="H63" s="1"/>
      <c r="I63" s="1">
        <v>0</v>
      </c>
      <c r="J63" s="1">
        <v>0</v>
      </c>
      <c r="K63" s="1">
        <v>0</v>
      </c>
      <c r="L63" s="1">
        <f>SUM(I63:J63:K63)</f>
        <v>0</v>
      </c>
      <c r="M63" s="1"/>
      <c r="N63" s="1">
        <v>1</v>
      </c>
      <c r="O63" s="1">
        <v>0</v>
      </c>
      <c r="P63" s="1">
        <v>0</v>
      </c>
      <c r="Q63" s="1">
        <f>SUM(N63:O63:P63)</f>
        <v>1</v>
      </c>
      <c r="R63" s="1"/>
      <c r="S63" s="6">
        <f>D63-I63-N63</f>
        <v>3</v>
      </c>
      <c r="T63" s="6">
        <f>E63-J63-O63</f>
        <v>0</v>
      </c>
      <c r="U63" s="6">
        <f>F63-K63-P63</f>
        <v>0</v>
      </c>
      <c r="V63" s="6">
        <f>SUM(S63:T63:U63)</f>
        <v>3</v>
      </c>
      <c r="W63" s="1"/>
      <c r="X63" s="1">
        <v>1</v>
      </c>
      <c r="Y63" s="1">
        <v>0</v>
      </c>
      <c r="Z63" s="1">
        <v>0</v>
      </c>
      <c r="AA63" s="1">
        <f>SUM(X63:Y63:Z63)</f>
        <v>1</v>
      </c>
    </row>
    <row r="64" spans="1:27" x14ac:dyDescent="0.3">
      <c r="A64" t="str">
        <f t="shared" ref="A64:A66" si="12">A63</f>
        <v>Mizoram</v>
      </c>
      <c r="B64" s="1" t="s">
        <v>16</v>
      </c>
      <c r="C64" s="1">
        <v>0</v>
      </c>
      <c r="D64" s="1">
        <v>0</v>
      </c>
      <c r="E64" s="1">
        <v>0</v>
      </c>
      <c r="F64" s="1">
        <v>0</v>
      </c>
      <c r="G64" s="1">
        <f>SUM(D64:E64:F64)</f>
        <v>0</v>
      </c>
      <c r="H64" s="1"/>
      <c r="I64" s="1">
        <v>0</v>
      </c>
      <c r="J64" s="1">
        <v>0</v>
      </c>
      <c r="K64" s="1">
        <v>0</v>
      </c>
      <c r="L64" s="1">
        <f>SUM(I64:J64:K64)</f>
        <v>0</v>
      </c>
      <c r="M64" s="1"/>
      <c r="N64" s="1">
        <v>0</v>
      </c>
      <c r="O64" s="1">
        <v>0</v>
      </c>
      <c r="P64" s="1">
        <v>0</v>
      </c>
      <c r="Q64" s="1">
        <f>SUM(N64:O64:P64)</f>
        <v>0</v>
      </c>
      <c r="R64" s="1"/>
      <c r="S64" s="6">
        <f>D64-I64-N64</f>
        <v>0</v>
      </c>
      <c r="T64" s="6">
        <f>E64-J64-O64</f>
        <v>0</v>
      </c>
      <c r="U64" s="6">
        <f>F64-K64-P64</f>
        <v>0</v>
      </c>
      <c r="V64" s="6">
        <f>SUM(S64:T64:U64)</f>
        <v>0</v>
      </c>
      <c r="W64" s="1"/>
      <c r="X64" s="1">
        <v>0</v>
      </c>
      <c r="Y64" s="1">
        <v>0</v>
      </c>
      <c r="Z64" s="1">
        <v>0</v>
      </c>
      <c r="AA64" s="1">
        <f>SUM(X64:Y64:Z64)</f>
        <v>0</v>
      </c>
    </row>
    <row r="65" spans="1:27" x14ac:dyDescent="0.3">
      <c r="A65" t="str">
        <f t="shared" si="12"/>
        <v>Mizoram</v>
      </c>
      <c r="B65" s="1" t="s">
        <v>17</v>
      </c>
      <c r="C65" s="1">
        <v>0</v>
      </c>
      <c r="D65" s="1">
        <v>0</v>
      </c>
      <c r="E65" s="1">
        <v>0</v>
      </c>
      <c r="F65" s="1">
        <v>0</v>
      </c>
      <c r="G65" s="1">
        <f>SUM(D65:E65:F65)</f>
        <v>0</v>
      </c>
      <c r="H65" s="1"/>
      <c r="I65" s="1">
        <v>0</v>
      </c>
      <c r="J65" s="1">
        <v>0</v>
      </c>
      <c r="K65" s="1">
        <v>0</v>
      </c>
      <c r="L65" s="1">
        <f>SUM(I65:J65:K65)</f>
        <v>0</v>
      </c>
      <c r="M65" s="1"/>
      <c r="N65" s="1">
        <v>0</v>
      </c>
      <c r="O65" s="1">
        <v>0</v>
      </c>
      <c r="P65" s="1">
        <v>0</v>
      </c>
      <c r="Q65" s="1">
        <f>SUM(N65:O65:P65)</f>
        <v>0</v>
      </c>
      <c r="R65" s="1"/>
      <c r="S65" s="6">
        <f>D65-I65-N65</f>
        <v>0</v>
      </c>
      <c r="T65" s="6">
        <f>E65-J65-O65</f>
        <v>0</v>
      </c>
      <c r="U65" s="6">
        <f>F65-K65-P65</f>
        <v>0</v>
      </c>
      <c r="V65" s="6">
        <f>SUM(S65:T65:U65)</f>
        <v>0</v>
      </c>
      <c r="W65" s="1"/>
      <c r="X65" s="1">
        <v>0</v>
      </c>
      <c r="Y65" s="1">
        <v>0</v>
      </c>
      <c r="Z65" s="1">
        <v>0</v>
      </c>
      <c r="AA65" s="1">
        <f>SUM(X65:Y65:Z65)</f>
        <v>0</v>
      </c>
    </row>
    <row r="66" spans="1:27" s="9" customFormat="1" x14ac:dyDescent="0.3">
      <c r="A66" s="9" t="str">
        <f t="shared" si="12"/>
        <v>Mizoram</v>
      </c>
      <c r="B66" s="8" t="s">
        <v>13</v>
      </c>
      <c r="C66" s="8">
        <f>SUM(C63:C64:C65)</f>
        <v>1</v>
      </c>
      <c r="D66" s="8">
        <f>SUM(D63:D64:D65)</f>
        <v>4</v>
      </c>
      <c r="E66" s="8">
        <f>SUM(E63:E64:E65)</f>
        <v>0</v>
      </c>
      <c r="F66" s="8">
        <f>SUM(F63:F64:F65)</f>
        <v>0</v>
      </c>
      <c r="G66" s="8">
        <f>SUM(G63:G64:G65)</f>
        <v>4</v>
      </c>
      <c r="H66" s="8"/>
      <c r="I66" s="8">
        <f>SUM(I63:I64:I65)</f>
        <v>0</v>
      </c>
      <c r="J66" s="8">
        <f>SUM(J63:J64:J65)</f>
        <v>0</v>
      </c>
      <c r="K66" s="8">
        <f>SUM(K63:K64:K65)</f>
        <v>0</v>
      </c>
      <c r="L66" s="8">
        <f>SUM(L63:L64:L65)</f>
        <v>0</v>
      </c>
      <c r="M66" s="8"/>
      <c r="N66" s="8">
        <f>SUM(N63:N64:N65)</f>
        <v>1</v>
      </c>
      <c r="O66" s="8">
        <f>SUM(O63:O64:O65)</f>
        <v>0</v>
      </c>
      <c r="P66" s="8">
        <f>SUM(K63:K64:K65)</f>
        <v>0</v>
      </c>
      <c r="Q66" s="8">
        <f>SUM(Q63:Q64:Q65)</f>
        <v>1</v>
      </c>
      <c r="R66" s="8"/>
      <c r="S66" s="8">
        <f>SUM(S63:S64:S65)</f>
        <v>3</v>
      </c>
      <c r="T66" s="8">
        <f>SUM(T63:T64:T65)</f>
        <v>0</v>
      </c>
      <c r="U66" s="8">
        <f>SUM(U63:U64:U65)</f>
        <v>0</v>
      </c>
      <c r="V66" s="8">
        <f>SUM(V63:V64:V65)</f>
        <v>3</v>
      </c>
      <c r="W66" s="8"/>
      <c r="X66" s="8">
        <f>SUM(X63:X64:X65)</f>
        <v>1</v>
      </c>
      <c r="Y66" s="8">
        <f>SUM(Y63:Y64:Y65)</f>
        <v>0</v>
      </c>
      <c r="Z66" s="8">
        <f>SUM(Z63:Z64:Z65)</f>
        <v>0</v>
      </c>
      <c r="AA66" s="8">
        <f>SUM(AA63:AA64:AA65)</f>
        <v>1</v>
      </c>
    </row>
    <row r="67" spans="1:27" x14ac:dyDescent="0.3">
      <c r="A67" s="1" t="s">
        <v>33</v>
      </c>
      <c r="B67" s="1" t="s">
        <v>15</v>
      </c>
      <c r="C67" s="1">
        <v>1</v>
      </c>
      <c r="D67" s="1">
        <v>4</v>
      </c>
      <c r="E67" s="1">
        <v>0</v>
      </c>
      <c r="F67" s="1">
        <v>0</v>
      </c>
      <c r="G67" s="1">
        <f>SUM(D67:E67:F67)</f>
        <v>4</v>
      </c>
      <c r="H67" s="1"/>
      <c r="I67" s="1">
        <v>1</v>
      </c>
      <c r="J67" s="1">
        <v>0</v>
      </c>
      <c r="K67" s="1">
        <v>0</v>
      </c>
      <c r="L67" s="1">
        <f>SUM(I67:J67:K67)</f>
        <v>1</v>
      </c>
      <c r="M67" s="1"/>
      <c r="N67" s="1">
        <v>0</v>
      </c>
      <c r="O67" s="1">
        <v>0</v>
      </c>
      <c r="P67" s="1">
        <v>0</v>
      </c>
      <c r="Q67" s="1">
        <f>SUM(N67:O67:P67)</f>
        <v>0</v>
      </c>
      <c r="R67" s="1"/>
      <c r="S67" s="6">
        <f>D67-I67-N67</f>
        <v>3</v>
      </c>
      <c r="T67" s="6">
        <f>E67-J67-O67</f>
        <v>0</v>
      </c>
      <c r="U67" s="6">
        <f>F67-K67-P67</f>
        <v>0</v>
      </c>
      <c r="V67" s="6">
        <f>SUM(S67:T67:U67)</f>
        <v>3</v>
      </c>
      <c r="W67" s="1"/>
      <c r="X67" s="1">
        <v>1</v>
      </c>
      <c r="Y67" s="1">
        <v>0</v>
      </c>
      <c r="Z67" s="1">
        <v>0</v>
      </c>
      <c r="AA67" s="1">
        <f>SUM(X67:Y67:Z67)</f>
        <v>1</v>
      </c>
    </row>
    <row r="68" spans="1:27" x14ac:dyDescent="0.3">
      <c r="A68" t="str">
        <f t="shared" ref="A68:A70" si="13">A67</f>
        <v>Nagaland</v>
      </c>
      <c r="B68" s="1" t="s">
        <v>16</v>
      </c>
      <c r="C68" s="1">
        <v>0</v>
      </c>
      <c r="D68" s="1">
        <v>0</v>
      </c>
      <c r="E68" s="1">
        <v>0</v>
      </c>
      <c r="F68" s="1">
        <v>0</v>
      </c>
      <c r="G68" s="1">
        <f>SUM(D68:E68:F68)</f>
        <v>0</v>
      </c>
      <c r="H68" s="1"/>
      <c r="I68" s="1">
        <v>0</v>
      </c>
      <c r="J68" s="1">
        <v>0</v>
      </c>
      <c r="K68" s="1">
        <v>0</v>
      </c>
      <c r="L68" s="1">
        <f>SUM(I68:J68:K68)</f>
        <v>0</v>
      </c>
      <c r="M68" s="1"/>
      <c r="N68" s="1">
        <v>0</v>
      </c>
      <c r="O68" s="1">
        <v>0</v>
      </c>
      <c r="P68" s="1">
        <v>0</v>
      </c>
      <c r="Q68" s="1">
        <f>SUM(N68:O68:P68)</f>
        <v>0</v>
      </c>
      <c r="R68" s="1"/>
      <c r="S68" s="6">
        <f>D68-I68-N68</f>
        <v>0</v>
      </c>
      <c r="T68" s="6">
        <f>E68-J68-O68</f>
        <v>0</v>
      </c>
      <c r="U68" s="6">
        <f>F68-K68-P68</f>
        <v>0</v>
      </c>
      <c r="V68" s="6">
        <f>SUM(S68:T68:U68)</f>
        <v>0</v>
      </c>
      <c r="W68" s="1"/>
      <c r="X68" s="1">
        <v>0</v>
      </c>
      <c r="Y68" s="1">
        <v>0</v>
      </c>
      <c r="Z68" s="1">
        <v>0</v>
      </c>
      <c r="AA68" s="1">
        <v>0</v>
      </c>
    </row>
    <row r="69" spans="1:27" x14ac:dyDescent="0.3">
      <c r="A69" t="str">
        <f t="shared" si="13"/>
        <v>Nagaland</v>
      </c>
      <c r="B69" s="1" t="s">
        <v>17</v>
      </c>
      <c r="C69" s="1">
        <v>0</v>
      </c>
      <c r="D69" s="1">
        <v>0</v>
      </c>
      <c r="E69" s="1">
        <v>0</v>
      </c>
      <c r="F69" s="1">
        <v>0</v>
      </c>
      <c r="G69" s="1">
        <f>SUM(D69:E69:F69)</f>
        <v>0</v>
      </c>
      <c r="H69" s="1"/>
      <c r="I69" s="1">
        <v>0</v>
      </c>
      <c r="J69" s="1">
        <v>0</v>
      </c>
      <c r="K69" s="1">
        <v>0</v>
      </c>
      <c r="L69" s="1">
        <f>SUM(I69:J69:K69)</f>
        <v>0</v>
      </c>
      <c r="M69" s="1"/>
      <c r="N69" s="1">
        <v>0</v>
      </c>
      <c r="O69" s="1">
        <v>0</v>
      </c>
      <c r="P69" s="1">
        <v>0</v>
      </c>
      <c r="Q69" s="1">
        <f>SUM(N69:O69:P69)</f>
        <v>0</v>
      </c>
      <c r="R69" s="1"/>
      <c r="S69" s="6">
        <f>D69-I69-N69</f>
        <v>0</v>
      </c>
      <c r="T69" s="6">
        <f>E69-J69-O69</f>
        <v>0</v>
      </c>
      <c r="U69" s="6">
        <f>F69-K69-P69</f>
        <v>0</v>
      </c>
      <c r="V69" s="6">
        <f>SUM(S69:T69:U69)</f>
        <v>0</v>
      </c>
      <c r="W69" s="1"/>
      <c r="X69" s="1">
        <v>0</v>
      </c>
      <c r="Y69" s="1">
        <v>0</v>
      </c>
      <c r="Z69" s="1">
        <v>0</v>
      </c>
      <c r="AA69" s="1">
        <f>SUM(X69:Y69:Z69)</f>
        <v>0</v>
      </c>
    </row>
    <row r="70" spans="1:27" s="9" customFormat="1" x14ac:dyDescent="0.3">
      <c r="A70" s="9" t="str">
        <f t="shared" si="13"/>
        <v>Nagaland</v>
      </c>
      <c r="B70" s="8" t="s">
        <v>13</v>
      </c>
      <c r="C70" s="8">
        <f>SUM(C67:C68:C69)</f>
        <v>1</v>
      </c>
      <c r="D70" s="8">
        <f>SUM(D67:D68:D69)</f>
        <v>4</v>
      </c>
      <c r="E70" s="8">
        <f>SUM(E67:E68:E69)</f>
        <v>0</v>
      </c>
      <c r="F70" s="8">
        <f>SUM(F67:F68:F69)</f>
        <v>0</v>
      </c>
      <c r="G70" s="8">
        <f>SUM(G67:G68:G69)</f>
        <v>4</v>
      </c>
      <c r="H70" s="8"/>
      <c r="I70" s="8">
        <f>SUM(I67:I68:I69)</f>
        <v>1</v>
      </c>
      <c r="J70" s="8">
        <f>SUM(J67:J68:J69)</f>
        <v>0</v>
      </c>
      <c r="K70" s="8">
        <f>SUM(K67:K68:K69)</f>
        <v>0</v>
      </c>
      <c r="L70" s="8">
        <f>SUM(L67:L68:L69)</f>
        <v>1</v>
      </c>
      <c r="M70" s="8"/>
      <c r="N70" s="8">
        <f>SUM(N67:N68:N69)</f>
        <v>0</v>
      </c>
      <c r="O70" s="8">
        <f>SUM(O67:O68:O69)</f>
        <v>0</v>
      </c>
      <c r="P70" s="8">
        <f>SUM(K67:K68:K69)</f>
        <v>0</v>
      </c>
      <c r="Q70" s="8">
        <f>SUM(Q67:Q68:Q69)</f>
        <v>0</v>
      </c>
      <c r="R70" s="8"/>
      <c r="S70" s="8">
        <f>SUM(S67:S68:S69)</f>
        <v>3</v>
      </c>
      <c r="T70" s="8">
        <f>SUM(T67:T68:T69)</f>
        <v>0</v>
      </c>
      <c r="U70" s="8">
        <f>SUM(U67:U68:U69)</f>
        <v>0</v>
      </c>
      <c r="V70" s="8">
        <f>SUM(V67:V68:V69)</f>
        <v>3</v>
      </c>
      <c r="W70" s="8"/>
      <c r="X70" s="8">
        <f>SUM(X67:X68:X69)</f>
        <v>1</v>
      </c>
      <c r="Y70" s="8">
        <f>SUM(Y67:Y68:Y69)</f>
        <v>0</v>
      </c>
      <c r="Z70" s="8">
        <f>SUM(Z67:Z68:Z69)</f>
        <v>0</v>
      </c>
      <c r="AA70" s="8">
        <f>SUM(AA67:AA68:AA69)</f>
        <v>1</v>
      </c>
    </row>
    <row r="71" spans="1:27" x14ac:dyDescent="0.3">
      <c r="A71" s="1" t="s">
        <v>34</v>
      </c>
      <c r="B71" s="1" t="s">
        <v>15</v>
      </c>
      <c r="C71" s="1">
        <v>12</v>
      </c>
      <c r="D71" s="1">
        <v>114</v>
      </c>
      <c r="E71" s="1">
        <v>9</v>
      </c>
      <c r="F71" s="1">
        <v>0</v>
      </c>
      <c r="G71" s="1">
        <f>SUM(D71:E71:F71)</f>
        <v>123</v>
      </c>
      <c r="H71" s="1"/>
      <c r="I71" s="1">
        <v>3</v>
      </c>
      <c r="J71" s="1">
        <v>1</v>
      </c>
      <c r="K71" s="1">
        <v>0</v>
      </c>
      <c r="L71" s="1">
        <f>SUM(I71:J71:K71)</f>
        <v>4</v>
      </c>
      <c r="M71" s="1"/>
      <c r="N71" s="1">
        <v>2</v>
      </c>
      <c r="O71" s="1">
        <v>0</v>
      </c>
      <c r="P71" s="1">
        <v>0</v>
      </c>
      <c r="Q71" s="1">
        <f>SUM(N71:O71:P71)</f>
        <v>2</v>
      </c>
      <c r="R71" s="1"/>
      <c r="S71" s="6">
        <f>D71-I71-N71</f>
        <v>109</v>
      </c>
      <c r="T71" s="6">
        <f>E71-J71-O71</f>
        <v>8</v>
      </c>
      <c r="U71" s="6">
        <f>F71-K71-P71</f>
        <v>0</v>
      </c>
      <c r="V71" s="6">
        <f>SUM(S71:T71:U71)</f>
        <v>117</v>
      </c>
      <c r="W71" s="1"/>
      <c r="X71" s="1">
        <v>79</v>
      </c>
      <c r="Y71" s="1">
        <v>6</v>
      </c>
      <c r="Z71" s="1">
        <v>0</v>
      </c>
      <c r="AA71" s="1">
        <f>SUM(X71:Y71:Z71)</f>
        <v>85</v>
      </c>
    </row>
    <row r="72" spans="1:27" x14ac:dyDescent="0.3">
      <c r="A72" t="str">
        <f t="shared" ref="A72:A74" si="14">A71</f>
        <v>Odisha</v>
      </c>
      <c r="B72" s="1" t="s">
        <v>16</v>
      </c>
      <c r="C72" s="1">
        <v>1</v>
      </c>
      <c r="D72" s="1">
        <v>9</v>
      </c>
      <c r="E72" s="1">
        <v>2</v>
      </c>
      <c r="F72" s="1">
        <v>0</v>
      </c>
      <c r="G72" s="1">
        <f>SUM(D72:E72:F72)</f>
        <v>11</v>
      </c>
      <c r="H72" s="1"/>
      <c r="I72" s="1">
        <v>1</v>
      </c>
      <c r="J72" s="1">
        <v>0</v>
      </c>
      <c r="K72" s="1">
        <v>0</v>
      </c>
      <c r="L72" s="1">
        <f>SUM(I72:J72:K72)</f>
        <v>1</v>
      </c>
      <c r="M72" s="1"/>
      <c r="N72" s="1">
        <v>0</v>
      </c>
      <c r="O72" s="1">
        <v>0</v>
      </c>
      <c r="P72" s="1">
        <v>0</v>
      </c>
      <c r="Q72" s="1">
        <f>SUM(N72:O72:P72)</f>
        <v>0</v>
      </c>
      <c r="R72" s="1"/>
      <c r="S72" s="6">
        <f>D72-I72-N72</f>
        <v>8</v>
      </c>
      <c r="T72" s="6">
        <f>E72-J72-O72</f>
        <v>2</v>
      </c>
      <c r="U72" s="6">
        <f>F72-K72-P72</f>
        <v>0</v>
      </c>
      <c r="V72" s="6">
        <f>SUM(S72:T72:U72)</f>
        <v>10</v>
      </c>
      <c r="W72" s="1"/>
      <c r="X72" s="1">
        <v>7</v>
      </c>
      <c r="Y72" s="1">
        <v>1</v>
      </c>
      <c r="Z72" s="1">
        <v>0</v>
      </c>
      <c r="AA72" s="1">
        <f>SUM(X72:Y72:Z72)</f>
        <v>8</v>
      </c>
    </row>
    <row r="73" spans="1:27" x14ac:dyDescent="0.3">
      <c r="A73" t="str">
        <f t="shared" si="14"/>
        <v>Odisha</v>
      </c>
      <c r="B73" s="1" t="s">
        <v>17</v>
      </c>
      <c r="C73" s="1">
        <v>3</v>
      </c>
      <c r="D73" s="1">
        <v>22</v>
      </c>
      <c r="E73" s="1">
        <v>2</v>
      </c>
      <c r="F73" s="1">
        <v>0</v>
      </c>
      <c r="G73" s="1">
        <f>SUM(D73:E73:F73)</f>
        <v>24</v>
      </c>
      <c r="H73" s="1"/>
      <c r="I73" s="1">
        <v>0</v>
      </c>
      <c r="J73" s="1">
        <v>0</v>
      </c>
      <c r="K73" s="1">
        <v>0</v>
      </c>
      <c r="L73" s="1">
        <f>SUM(I73:J73:K73)</f>
        <v>0</v>
      </c>
      <c r="M73" s="1"/>
      <c r="N73" s="1">
        <v>0</v>
      </c>
      <c r="O73" s="1">
        <v>0</v>
      </c>
      <c r="P73" s="1">
        <v>0</v>
      </c>
      <c r="Q73" s="1">
        <f>SUM(N73:O73:P73)</f>
        <v>0</v>
      </c>
      <c r="R73" s="1"/>
      <c r="S73" s="6">
        <f>D73-I73-N73</f>
        <v>22</v>
      </c>
      <c r="T73" s="6">
        <f>E73-J73-O73</f>
        <v>2</v>
      </c>
      <c r="U73" s="6">
        <f>F73-K73-P73</f>
        <v>0</v>
      </c>
      <c r="V73" s="6">
        <f>SUM(S73:T73:U73)</f>
        <v>24</v>
      </c>
      <c r="W73" s="1"/>
      <c r="X73" s="1">
        <v>16</v>
      </c>
      <c r="Y73" s="1">
        <v>1</v>
      </c>
      <c r="Z73" s="1">
        <v>0</v>
      </c>
      <c r="AA73" s="1">
        <f>SUM(X73:Y73:Z73)</f>
        <v>17</v>
      </c>
    </row>
    <row r="74" spans="1:27" s="9" customFormat="1" x14ac:dyDescent="0.3">
      <c r="A74" s="9" t="str">
        <f t="shared" si="14"/>
        <v>Odisha</v>
      </c>
      <c r="B74" s="8" t="s">
        <v>13</v>
      </c>
      <c r="C74" s="8">
        <f>SUM(C71:C72:C73)</f>
        <v>16</v>
      </c>
      <c r="D74" s="8">
        <f>SUM(D71:D72:D73)</f>
        <v>145</v>
      </c>
      <c r="E74" s="8">
        <f>SUM(E71:E72:E73)</f>
        <v>13</v>
      </c>
      <c r="F74" s="8">
        <f>SUM(F71:F72:F73)</f>
        <v>0</v>
      </c>
      <c r="G74" s="8">
        <f>SUM(G71:G72:G73)</f>
        <v>158</v>
      </c>
      <c r="H74" s="8"/>
      <c r="I74" s="8">
        <f>SUM(I71:I72:I73)</f>
        <v>4</v>
      </c>
      <c r="J74" s="8">
        <f>SUM(J71:J72:J73)</f>
        <v>1</v>
      </c>
      <c r="K74" s="8">
        <f>SUM(K71:K72:K73)</f>
        <v>0</v>
      </c>
      <c r="L74" s="8">
        <f>SUM(L71:L72:L73)</f>
        <v>5</v>
      </c>
      <c r="M74" s="8"/>
      <c r="N74" s="8">
        <f>SUM(N71:N72:N73)</f>
        <v>2</v>
      </c>
      <c r="O74" s="8">
        <f>SUM(O71:O72:O73)</f>
        <v>0</v>
      </c>
      <c r="P74" s="8">
        <f>SUM(K71:K72:K73)</f>
        <v>0</v>
      </c>
      <c r="Q74" s="8">
        <f>SUM(Q71:Q72:Q73)</f>
        <v>2</v>
      </c>
      <c r="R74" s="8"/>
      <c r="S74" s="8">
        <f>SUM(S71:S72:S73)</f>
        <v>139</v>
      </c>
      <c r="T74" s="8">
        <f>SUM(T71:T72:T73)</f>
        <v>12</v>
      </c>
      <c r="U74" s="8">
        <f>SUM(U71:U72:U73)</f>
        <v>0</v>
      </c>
      <c r="V74" s="8">
        <f>SUM(V71:V72:V73)</f>
        <v>151</v>
      </c>
      <c r="W74" s="8"/>
      <c r="X74" s="8">
        <f>SUM(X71:X72:X73)</f>
        <v>102</v>
      </c>
      <c r="Y74" s="8">
        <f>SUM(Y71:Y72:Y73)</f>
        <v>8</v>
      </c>
      <c r="Z74" s="8">
        <f>SUM(Z71:Z72:Z73)</f>
        <v>0</v>
      </c>
      <c r="AA74" s="8">
        <f>SUM(AA71:AA72:AA73)</f>
        <v>110</v>
      </c>
    </row>
    <row r="75" spans="1:27" x14ac:dyDescent="0.3">
      <c r="A75" s="1" t="s">
        <v>35</v>
      </c>
      <c r="B75" s="1" t="s">
        <v>15</v>
      </c>
      <c r="C75" s="1">
        <v>9</v>
      </c>
      <c r="D75" s="1">
        <v>222</v>
      </c>
      <c r="E75" s="1">
        <v>25</v>
      </c>
      <c r="F75" s="1">
        <v>0</v>
      </c>
      <c r="G75" s="1">
        <f>SUM(D75:E75:F75)</f>
        <v>247</v>
      </c>
      <c r="H75" s="1"/>
      <c r="I75" s="1">
        <v>38</v>
      </c>
      <c r="J75" s="1">
        <v>13</v>
      </c>
      <c r="K75" s="1">
        <v>0</v>
      </c>
      <c r="L75" s="1">
        <f>SUM(I75:J75:K75)</f>
        <v>51</v>
      </c>
      <c r="M75" s="1"/>
      <c r="N75" s="1">
        <v>17</v>
      </c>
      <c r="O75" s="1">
        <v>1</v>
      </c>
      <c r="P75" s="1">
        <v>0</v>
      </c>
      <c r="Q75" s="1">
        <f>SUM(N75:O75:P75)</f>
        <v>18</v>
      </c>
      <c r="R75" s="1"/>
      <c r="S75" s="6">
        <f>D75-I75-N75</f>
        <v>167</v>
      </c>
      <c r="T75" s="6">
        <f>E75-J75-O75</f>
        <v>11</v>
      </c>
      <c r="U75" s="6">
        <f>F75-K75-P75</f>
        <v>0</v>
      </c>
      <c r="V75" s="6">
        <f>SUM(S75:T75:U75)</f>
        <v>178</v>
      </c>
      <c r="W75" s="1"/>
      <c r="X75" s="1">
        <v>147</v>
      </c>
      <c r="Y75" s="1">
        <v>8</v>
      </c>
      <c r="Z75" s="1">
        <v>0</v>
      </c>
      <c r="AA75" s="1">
        <f>SUM(X75:Y75:Z75)</f>
        <v>155</v>
      </c>
    </row>
    <row r="76" spans="1:27" x14ac:dyDescent="0.3">
      <c r="A76" t="str">
        <f t="shared" ref="A76:A78" si="15">A75</f>
        <v>Punjab</v>
      </c>
      <c r="B76" s="1" t="s">
        <v>16</v>
      </c>
      <c r="C76" s="1">
        <v>4</v>
      </c>
      <c r="D76" s="1">
        <v>84</v>
      </c>
      <c r="E76" s="1">
        <v>16</v>
      </c>
      <c r="F76" s="1">
        <v>0</v>
      </c>
      <c r="G76" s="1">
        <f>SUM(D76:E76:F76)</f>
        <v>100</v>
      </c>
      <c r="H76" s="1"/>
      <c r="I76" s="1">
        <v>9</v>
      </c>
      <c r="J76" s="1">
        <v>7</v>
      </c>
      <c r="K76" s="1">
        <v>0</v>
      </c>
      <c r="L76" s="1">
        <f>SUM(I76:J76:K76)</f>
        <v>16</v>
      </c>
      <c r="M76" s="1"/>
      <c r="N76" s="1">
        <v>9</v>
      </c>
      <c r="O76" s="1">
        <v>0</v>
      </c>
      <c r="P76" s="1">
        <v>0</v>
      </c>
      <c r="Q76" s="1">
        <f>SUM(N76:O76:P76)</f>
        <v>9</v>
      </c>
      <c r="R76" s="1"/>
      <c r="S76" s="6">
        <f>D76-I76-N76</f>
        <v>66</v>
      </c>
      <c r="T76" s="6">
        <f>E76-J76-O76</f>
        <v>9</v>
      </c>
      <c r="U76" s="6">
        <f>F76-K76-P76</f>
        <v>0</v>
      </c>
      <c r="V76" s="6">
        <f>SUM(S76:T76:U76)</f>
        <v>75</v>
      </c>
      <c r="W76" s="1"/>
      <c r="X76" s="1">
        <v>57</v>
      </c>
      <c r="Y76" s="1">
        <v>6</v>
      </c>
      <c r="Z76" s="1">
        <v>0</v>
      </c>
      <c r="AA76" s="1">
        <f>SUM(X76:Y76:Z76)</f>
        <v>63</v>
      </c>
    </row>
    <row r="77" spans="1:27" x14ac:dyDescent="0.3">
      <c r="A77" t="str">
        <f t="shared" si="15"/>
        <v>Punjab</v>
      </c>
      <c r="B77" s="1" t="s">
        <v>17</v>
      </c>
      <c r="C77" s="1">
        <v>0</v>
      </c>
      <c r="D77" s="1">
        <v>0</v>
      </c>
      <c r="E77" s="1">
        <v>0</v>
      </c>
      <c r="F77" s="1">
        <v>0</v>
      </c>
      <c r="G77" s="1">
        <f>SUM(D77:E77:F77)</f>
        <v>0</v>
      </c>
      <c r="H77" s="1"/>
      <c r="I77" s="1">
        <v>0</v>
      </c>
      <c r="J77" s="1">
        <v>0</v>
      </c>
      <c r="K77" s="1">
        <v>0</v>
      </c>
      <c r="L77" s="1">
        <f>SUM(I77:J77:K77)</f>
        <v>0</v>
      </c>
      <c r="M77" s="1"/>
      <c r="N77" s="1">
        <v>0</v>
      </c>
      <c r="O77" s="1">
        <v>0</v>
      </c>
      <c r="P77" s="1">
        <v>0</v>
      </c>
      <c r="Q77" s="1">
        <f>SUM(N77:O77:P77)</f>
        <v>0</v>
      </c>
      <c r="R77" s="1"/>
      <c r="S77" s="6">
        <f>D77-I77-N77</f>
        <v>0</v>
      </c>
      <c r="T77" s="6">
        <f>E77-J77-O77</f>
        <v>0</v>
      </c>
      <c r="U77" s="6">
        <f>F77-K77-P77</f>
        <v>0</v>
      </c>
      <c r="V77" s="6">
        <f>SUM(S77:T77:U77)</f>
        <v>0</v>
      </c>
      <c r="W77" s="1"/>
      <c r="X77" s="1">
        <v>0</v>
      </c>
      <c r="Y77" s="1">
        <v>0</v>
      </c>
      <c r="Z77" s="1">
        <v>0</v>
      </c>
      <c r="AA77" s="1">
        <v>0</v>
      </c>
    </row>
    <row r="78" spans="1:27" s="9" customFormat="1" x14ac:dyDescent="0.3">
      <c r="A78" s="9" t="str">
        <f t="shared" si="15"/>
        <v>Punjab</v>
      </c>
      <c r="B78" s="8" t="s">
        <v>13</v>
      </c>
      <c r="C78" s="8">
        <f>SUM(C75:C76:C77)</f>
        <v>13</v>
      </c>
      <c r="D78" s="8">
        <f>SUM(D75:D76:D77)</f>
        <v>306</v>
      </c>
      <c r="E78" s="8">
        <f>SUM(E75:E76:E77)</f>
        <v>41</v>
      </c>
      <c r="F78" s="8">
        <f>SUM(F75:F76:F77)</f>
        <v>0</v>
      </c>
      <c r="G78" s="8">
        <f>SUM(G75:G76:G77)</f>
        <v>347</v>
      </c>
      <c r="H78" s="8"/>
      <c r="I78" s="8">
        <f>SUM(I75:I76:I77)</f>
        <v>47</v>
      </c>
      <c r="J78" s="8">
        <f>SUM(J75:J76:J77)</f>
        <v>20</v>
      </c>
      <c r="K78" s="8">
        <f>SUM(K75:K76:K77)</f>
        <v>0</v>
      </c>
      <c r="L78" s="8">
        <f>SUM(L75:L76:L77)</f>
        <v>67</v>
      </c>
      <c r="M78" s="8"/>
      <c r="N78" s="8">
        <f>SUM(N75:N76:N77)</f>
        <v>26</v>
      </c>
      <c r="O78" s="8">
        <f>SUM(O75:O76:O77)</f>
        <v>1</v>
      </c>
      <c r="P78" s="8">
        <f>SUM(K75:K76:K77)</f>
        <v>0</v>
      </c>
      <c r="Q78" s="8">
        <f>SUM(Q75:Q76:Q77)</f>
        <v>27</v>
      </c>
      <c r="R78" s="8"/>
      <c r="S78" s="8">
        <f>SUM(S75:S76:S77)</f>
        <v>233</v>
      </c>
      <c r="T78" s="8">
        <f>SUM(T75:T76:T77)</f>
        <v>20</v>
      </c>
      <c r="U78" s="8">
        <f>SUM(U75:U76:U77)</f>
        <v>0</v>
      </c>
      <c r="V78" s="8">
        <f>SUM(V75:V76:V77)</f>
        <v>253</v>
      </c>
      <c r="W78" s="8"/>
      <c r="X78" s="8">
        <f>SUM(X75:X76:X77)</f>
        <v>204</v>
      </c>
      <c r="Y78" s="8">
        <f>SUM(Y75:Y76:Y77)</f>
        <v>14</v>
      </c>
      <c r="Z78" s="8">
        <f>SUM(Z75:Z76:Z77)</f>
        <v>0</v>
      </c>
      <c r="AA78" s="8">
        <f>SUM(AA75:AA76:AA77)</f>
        <v>218</v>
      </c>
    </row>
    <row r="79" spans="1:27" x14ac:dyDescent="0.3">
      <c r="A79" s="1" t="s">
        <v>36</v>
      </c>
      <c r="B79" s="1" t="s">
        <v>15</v>
      </c>
      <c r="C79" s="1">
        <v>17</v>
      </c>
      <c r="D79" s="1">
        <v>316</v>
      </c>
      <c r="E79" s="1">
        <v>26</v>
      </c>
      <c r="F79" s="1">
        <v>0</v>
      </c>
      <c r="G79" s="1">
        <f>SUM(D79:E79:F79)</f>
        <v>342</v>
      </c>
      <c r="H79" s="1"/>
      <c r="I79" s="1">
        <v>48</v>
      </c>
      <c r="J79" s="1">
        <v>9</v>
      </c>
      <c r="K79" s="1">
        <v>0</v>
      </c>
      <c r="L79" s="1">
        <f>SUM(I79:J79:K79)</f>
        <v>57</v>
      </c>
      <c r="M79" s="1"/>
      <c r="N79" s="1">
        <v>55</v>
      </c>
      <c r="O79" s="1">
        <v>1</v>
      </c>
      <c r="P79" s="1">
        <v>0</v>
      </c>
      <c r="Q79" s="1">
        <f>SUM(N79:O79:P79)</f>
        <v>56</v>
      </c>
      <c r="R79" s="1"/>
      <c r="S79" s="6">
        <f>D79-I79-N79</f>
        <v>213</v>
      </c>
      <c r="T79" s="6">
        <f>E79-J79-O79</f>
        <v>16</v>
      </c>
      <c r="U79" s="6">
        <f>F79-K79-P79</f>
        <v>0</v>
      </c>
      <c r="V79" s="6">
        <f>SUM(S79:T79:U79)</f>
        <v>229</v>
      </c>
      <c r="W79" s="1"/>
      <c r="X79" s="1">
        <v>182</v>
      </c>
      <c r="Y79" s="1">
        <v>10</v>
      </c>
      <c r="Z79" s="1">
        <v>0</v>
      </c>
      <c r="AA79" s="1">
        <f>SUM(X79:Y79:Z79)</f>
        <v>192</v>
      </c>
    </row>
    <row r="80" spans="1:27" x14ac:dyDescent="0.3">
      <c r="A80" t="str">
        <f t="shared" ref="A80:A82" si="16">A79</f>
        <v>Rajasthan</v>
      </c>
      <c r="B80" s="1" t="s">
        <v>16</v>
      </c>
      <c r="C80" s="1">
        <v>1</v>
      </c>
      <c r="D80" s="1">
        <v>17</v>
      </c>
      <c r="E80" s="1">
        <v>0</v>
      </c>
      <c r="F80" s="1">
        <v>0</v>
      </c>
      <c r="G80" s="1">
        <f>SUM(D80:E80:F80)</f>
        <v>17</v>
      </c>
      <c r="H80" s="1"/>
      <c r="I80" s="1">
        <v>2</v>
      </c>
      <c r="J80" s="1">
        <v>0</v>
      </c>
      <c r="K80" s="1">
        <v>0</v>
      </c>
      <c r="L80" s="1">
        <f>SUM(I80:J80:K80)</f>
        <v>2</v>
      </c>
      <c r="M80" s="1"/>
      <c r="N80" s="1">
        <v>3</v>
      </c>
      <c r="O80" s="1">
        <v>0</v>
      </c>
      <c r="P80" s="1">
        <v>0</v>
      </c>
      <c r="Q80" s="1">
        <f>SUM(N80:O80:P80)</f>
        <v>3</v>
      </c>
      <c r="R80" s="1"/>
      <c r="S80" s="6">
        <f>D80-I80-N80</f>
        <v>12</v>
      </c>
      <c r="T80" s="6">
        <f>E80-J80-O80</f>
        <v>0</v>
      </c>
      <c r="U80" s="6">
        <f>F80-K80-P80</f>
        <v>0</v>
      </c>
      <c r="V80" s="6">
        <f>SUM(S80:T80:U80)</f>
        <v>12</v>
      </c>
      <c r="W80" s="1"/>
      <c r="X80" s="1">
        <v>10</v>
      </c>
      <c r="Y80" s="1">
        <v>0</v>
      </c>
      <c r="Z80" s="1">
        <v>0</v>
      </c>
      <c r="AA80" s="1">
        <f>SUM(X80:Y80:Z80)</f>
        <v>10</v>
      </c>
    </row>
    <row r="81" spans="1:27" x14ac:dyDescent="0.3">
      <c r="A81" t="str">
        <f t="shared" si="16"/>
        <v>Rajasthan</v>
      </c>
      <c r="B81" s="1" t="s">
        <v>17</v>
      </c>
      <c r="C81" s="1">
        <v>3</v>
      </c>
      <c r="D81" s="1">
        <v>40</v>
      </c>
      <c r="E81" s="1">
        <v>5</v>
      </c>
      <c r="F81" s="1">
        <v>0</v>
      </c>
      <c r="G81" s="1">
        <f>SUM(D81:E81:F81)</f>
        <v>45</v>
      </c>
      <c r="H81" s="1"/>
      <c r="I81" s="1">
        <v>6</v>
      </c>
      <c r="J81" s="1">
        <v>1</v>
      </c>
      <c r="K81" s="1">
        <v>0</v>
      </c>
      <c r="L81" s="1">
        <f>SUM(I81:J81:K81)</f>
        <v>7</v>
      </c>
      <c r="M81" s="1"/>
      <c r="N81" s="1">
        <v>1</v>
      </c>
      <c r="O81" s="1">
        <v>0</v>
      </c>
      <c r="P81" s="1">
        <v>0</v>
      </c>
      <c r="Q81" s="1">
        <f>SUM(N81:O81:P81)</f>
        <v>1</v>
      </c>
      <c r="R81" s="1"/>
      <c r="S81" s="6">
        <f>D81-I81-N81</f>
        <v>33</v>
      </c>
      <c r="T81" s="6">
        <f>E81-J81-O81</f>
        <v>4</v>
      </c>
      <c r="U81" s="6">
        <f>F81-K81-P81</f>
        <v>0</v>
      </c>
      <c r="V81" s="6">
        <f>SUM(S81:T81:U81)</f>
        <v>37</v>
      </c>
      <c r="W81" s="1"/>
      <c r="X81" s="1">
        <v>27</v>
      </c>
      <c r="Y81" s="1">
        <v>4</v>
      </c>
      <c r="Z81" s="1">
        <v>0</v>
      </c>
      <c r="AA81" s="1">
        <f>SUM(X81:Y81:Z81)</f>
        <v>31</v>
      </c>
    </row>
    <row r="82" spans="1:27" s="9" customFormat="1" x14ac:dyDescent="0.3">
      <c r="A82" s="9" t="str">
        <f t="shared" si="16"/>
        <v>Rajasthan</v>
      </c>
      <c r="B82" s="8" t="s">
        <v>13</v>
      </c>
      <c r="C82" s="8">
        <f>SUM(C79:C80:C81)</f>
        <v>21</v>
      </c>
      <c r="D82" s="8">
        <f>SUM(D79:D80:D81)</f>
        <v>373</v>
      </c>
      <c r="E82" s="8">
        <f>SUM(E79:E80:E81)</f>
        <v>31</v>
      </c>
      <c r="F82" s="8">
        <f>SUM(F79:F80:F81)</f>
        <v>0</v>
      </c>
      <c r="G82" s="8">
        <f>SUM(G79:G80:G81)</f>
        <v>404</v>
      </c>
      <c r="H82" s="8"/>
      <c r="I82" s="8">
        <f>SUM(I79:I80:I81)</f>
        <v>56</v>
      </c>
      <c r="J82" s="8">
        <f>SUM(J79:J80:J81)</f>
        <v>10</v>
      </c>
      <c r="K82" s="8">
        <f>SUM(K79:K80:K81)</f>
        <v>0</v>
      </c>
      <c r="L82" s="8">
        <f>SUM(L79:L80:L81)</f>
        <v>66</v>
      </c>
      <c r="M82" s="8"/>
      <c r="N82" s="8">
        <f>SUM(N79:N80:N81)</f>
        <v>59</v>
      </c>
      <c r="O82" s="8">
        <f>SUM(O79:O80:O81)</f>
        <v>1</v>
      </c>
      <c r="P82" s="8">
        <f>SUM(K79:K80:K81)</f>
        <v>0</v>
      </c>
      <c r="Q82" s="8">
        <f>SUM(Q79:Q80:Q81)</f>
        <v>60</v>
      </c>
      <c r="R82" s="8"/>
      <c r="S82" s="8">
        <f>SUM(S79:S80:S81)</f>
        <v>258</v>
      </c>
      <c r="T82" s="8">
        <f>SUM(T79:T80:T81)</f>
        <v>20</v>
      </c>
      <c r="U82" s="8">
        <f>SUM(U79:U80:U81)</f>
        <v>0</v>
      </c>
      <c r="V82" s="8">
        <f>SUM(V79:V80:V81)</f>
        <v>278</v>
      </c>
      <c r="W82" s="8"/>
      <c r="X82" s="8">
        <f>SUM(X79:X80:X81)</f>
        <v>219</v>
      </c>
      <c r="Y82" s="8">
        <f>SUM(Y79:Y80:Y81)</f>
        <v>14</v>
      </c>
      <c r="Z82" s="8">
        <f>SUM(Z79:Z80:Z81)</f>
        <v>0</v>
      </c>
      <c r="AA82" s="8">
        <f>SUM(AA79:AA80:AA81)</f>
        <v>233</v>
      </c>
    </row>
    <row r="83" spans="1:27" x14ac:dyDescent="0.3">
      <c r="A83" s="1" t="s">
        <v>37</v>
      </c>
      <c r="B83" s="1" t="s">
        <v>15</v>
      </c>
      <c r="C83" s="1">
        <v>1</v>
      </c>
      <c r="D83" s="1">
        <v>6</v>
      </c>
      <c r="E83" s="1">
        <v>0</v>
      </c>
      <c r="F83" s="1">
        <v>0</v>
      </c>
      <c r="G83" s="1">
        <f>SUM(D83:E83:F83)</f>
        <v>6</v>
      </c>
      <c r="H83" s="1"/>
      <c r="I83" s="1">
        <v>0</v>
      </c>
      <c r="J83" s="1">
        <v>0</v>
      </c>
      <c r="K83" s="1">
        <v>0</v>
      </c>
      <c r="L83" s="1">
        <f>SUM(I83:J83:K83)</f>
        <v>0</v>
      </c>
      <c r="M83" s="1"/>
      <c r="N83" s="1">
        <v>0</v>
      </c>
      <c r="O83" s="1">
        <v>0</v>
      </c>
      <c r="P83" s="1">
        <v>0</v>
      </c>
      <c r="Q83" s="1">
        <f>SUM(N83:O83:P83)</f>
        <v>0</v>
      </c>
      <c r="R83" s="1"/>
      <c r="S83" s="6">
        <f>D83-I83-N83</f>
        <v>6</v>
      </c>
      <c r="T83" s="6">
        <f>E83-J83-O83</f>
        <v>0</v>
      </c>
      <c r="U83" s="6">
        <f>F83-K83-P83</f>
        <v>0</v>
      </c>
      <c r="V83" s="6">
        <f>SUM(S83:T83:U83)</f>
        <v>6</v>
      </c>
      <c r="W83" s="1"/>
      <c r="X83" s="1">
        <v>4</v>
      </c>
      <c r="Y83" s="1">
        <v>0</v>
      </c>
      <c r="Z83" s="1">
        <v>0</v>
      </c>
      <c r="AA83" s="1">
        <f>SUM(X83:Y83:Z83)</f>
        <v>4</v>
      </c>
    </row>
    <row r="84" spans="1:27" x14ac:dyDescent="0.3">
      <c r="A84" t="str">
        <f t="shared" ref="A84:A86" si="17">A83</f>
        <v>Sikkim</v>
      </c>
      <c r="B84" s="1" t="s">
        <v>16</v>
      </c>
      <c r="C84" s="1">
        <v>0</v>
      </c>
      <c r="D84" s="1">
        <v>0</v>
      </c>
      <c r="E84" s="1">
        <v>0</v>
      </c>
      <c r="F84" s="1">
        <v>0</v>
      </c>
      <c r="G84" s="1">
        <f>SUM(D84:E84:F84)</f>
        <v>0</v>
      </c>
      <c r="H84" s="1"/>
      <c r="I84" s="1">
        <v>0</v>
      </c>
      <c r="J84" s="1">
        <v>0</v>
      </c>
      <c r="K84" s="1">
        <v>0</v>
      </c>
      <c r="L84" s="1">
        <f>SUM(I84:J84:K84)</f>
        <v>0</v>
      </c>
      <c r="M84" s="1"/>
      <c r="N84" s="1">
        <v>0</v>
      </c>
      <c r="O84" s="1">
        <v>0</v>
      </c>
      <c r="P84" s="1">
        <v>0</v>
      </c>
      <c r="Q84" s="1">
        <f>SUM(N84:O84:P84)</f>
        <v>0</v>
      </c>
      <c r="R84" s="1"/>
      <c r="S84" s="6">
        <f>D84-I84-N84</f>
        <v>0</v>
      </c>
      <c r="T84" s="6">
        <f>E84-J84-O84</f>
        <v>0</v>
      </c>
      <c r="U84" s="6">
        <f>F84-K84-P84</f>
        <v>0</v>
      </c>
      <c r="V84" s="6">
        <f>SUM(S84:T84:U84)</f>
        <v>0</v>
      </c>
      <c r="W84" s="1"/>
      <c r="X84" s="1">
        <v>0</v>
      </c>
      <c r="Y84" s="1">
        <v>0</v>
      </c>
      <c r="Z84" s="1">
        <v>0</v>
      </c>
      <c r="AA84" s="1">
        <f>SUM(X84:Y84:Z84)</f>
        <v>0</v>
      </c>
    </row>
    <row r="85" spans="1:27" x14ac:dyDescent="0.3">
      <c r="A85" t="str">
        <f t="shared" si="17"/>
        <v>Sikkim</v>
      </c>
      <c r="B85" s="1" t="s">
        <v>17</v>
      </c>
      <c r="C85" s="1">
        <v>0</v>
      </c>
      <c r="D85" s="1">
        <v>0</v>
      </c>
      <c r="E85" s="1">
        <v>0</v>
      </c>
      <c r="F85" s="1">
        <v>0</v>
      </c>
      <c r="G85" s="1">
        <f>SUM(D85:E85:F85)</f>
        <v>0</v>
      </c>
      <c r="H85" s="1"/>
      <c r="I85" s="1">
        <v>0</v>
      </c>
      <c r="J85" s="1">
        <v>0</v>
      </c>
      <c r="K85" s="1">
        <v>0</v>
      </c>
      <c r="L85" s="1">
        <f>SUM(I85:J85:K85)</f>
        <v>0</v>
      </c>
      <c r="M85" s="1"/>
      <c r="N85" s="1">
        <v>0</v>
      </c>
      <c r="O85" s="1">
        <v>0</v>
      </c>
      <c r="P85" s="1">
        <v>0</v>
      </c>
      <c r="Q85" s="1">
        <f>SUM(N85:O85:P85)</f>
        <v>0</v>
      </c>
      <c r="R85" s="1"/>
      <c r="S85" s="6">
        <f>D85-I85-N85</f>
        <v>0</v>
      </c>
      <c r="T85" s="6">
        <f>E85-J85-O85</f>
        <v>0</v>
      </c>
      <c r="U85" s="6">
        <f>F85-K85-P85</f>
        <v>0</v>
      </c>
      <c r="V85" s="6">
        <f>SUM(S85:T85:U85)</f>
        <v>0</v>
      </c>
      <c r="W85" s="1"/>
      <c r="X85" s="1">
        <v>0</v>
      </c>
      <c r="Y85" s="1">
        <v>0</v>
      </c>
      <c r="Z85" s="1">
        <v>0</v>
      </c>
      <c r="AA85" s="1">
        <f>SUM(X85:Y85:Z85)</f>
        <v>0</v>
      </c>
    </row>
    <row r="86" spans="1:27" s="9" customFormat="1" x14ac:dyDescent="0.3">
      <c r="A86" s="9" t="str">
        <f t="shared" si="17"/>
        <v>Sikkim</v>
      </c>
      <c r="B86" s="8" t="s">
        <v>13</v>
      </c>
      <c r="C86" s="8">
        <f>SUM(C83:C84:C85)</f>
        <v>1</v>
      </c>
      <c r="D86" s="8">
        <f>SUM(D83:D84:D85)</f>
        <v>6</v>
      </c>
      <c r="E86" s="8">
        <f>SUM(E83:E84:E85)</f>
        <v>0</v>
      </c>
      <c r="F86" s="8">
        <f>SUM(F83:F84:F85)</f>
        <v>0</v>
      </c>
      <c r="G86" s="8">
        <f>SUM(G83:G84:G85)</f>
        <v>6</v>
      </c>
      <c r="H86" s="8"/>
      <c r="I86" s="8">
        <f>SUM(I83:I84:I85)</f>
        <v>0</v>
      </c>
      <c r="J86" s="8">
        <f>SUM(J83:J84:J85)</f>
        <v>0</v>
      </c>
      <c r="K86" s="8">
        <f>SUM(K83:K84:K85)</f>
        <v>0</v>
      </c>
      <c r="L86" s="8">
        <f>SUM(L83:L84:L85)</f>
        <v>0</v>
      </c>
      <c r="M86" s="8"/>
      <c r="N86" s="8">
        <f>SUM(N83:N84:N85)</f>
        <v>0</v>
      </c>
      <c r="O86" s="8">
        <f>SUM(O83:O84:O85)</f>
        <v>0</v>
      </c>
      <c r="P86" s="8">
        <f>SUM(K83:K84:K85)</f>
        <v>0</v>
      </c>
      <c r="Q86" s="8">
        <f>SUM(Q83:Q84:Q85)</f>
        <v>0</v>
      </c>
      <c r="R86" s="8"/>
      <c r="S86" s="8">
        <f>SUM(S83:S84:S85)</f>
        <v>6</v>
      </c>
      <c r="T86" s="8">
        <f>SUM(T83:T84:T85)</f>
        <v>0</v>
      </c>
      <c r="U86" s="8">
        <f>SUM(U83:U84:U85)</f>
        <v>0</v>
      </c>
      <c r="V86" s="8">
        <f>SUM(V83:V84:V85)</f>
        <v>6</v>
      </c>
      <c r="W86" s="8"/>
      <c r="X86" s="8">
        <f>SUM(X83:X84:X85)</f>
        <v>4</v>
      </c>
      <c r="Y86" s="8">
        <f>SUM(Y83:Y84:Y85)</f>
        <v>0</v>
      </c>
      <c r="Z86" s="8">
        <f>SUM(Z83:Z84:Z85)</f>
        <v>0</v>
      </c>
      <c r="AA86" s="8">
        <f>SUM(AA83:AA84:AA85)</f>
        <v>4</v>
      </c>
    </row>
    <row r="87" spans="1:27" x14ac:dyDescent="0.3">
      <c r="A87" s="1" t="s">
        <v>38</v>
      </c>
      <c r="B87" s="1" t="s">
        <v>15</v>
      </c>
      <c r="C87" s="1">
        <v>32</v>
      </c>
      <c r="D87" s="1">
        <v>1090</v>
      </c>
      <c r="E87" s="1">
        <v>101</v>
      </c>
      <c r="F87" s="1">
        <v>2</v>
      </c>
      <c r="G87" s="1">
        <f>SUM(D87:E87:F87)</f>
        <v>1193</v>
      </c>
      <c r="H87" s="1"/>
      <c r="I87" s="1">
        <v>337</v>
      </c>
      <c r="J87" s="1">
        <v>52</v>
      </c>
      <c r="K87" s="1">
        <v>1</v>
      </c>
      <c r="L87" s="1">
        <f>SUM(I87:J87:K87)</f>
        <v>390</v>
      </c>
      <c r="M87" s="1"/>
      <c r="N87" s="1">
        <v>49</v>
      </c>
      <c r="O87" s="1">
        <v>6</v>
      </c>
      <c r="P87" s="1">
        <v>0</v>
      </c>
      <c r="Q87" s="1">
        <f>SUM(N87:O87:P87)</f>
        <v>55</v>
      </c>
      <c r="R87" s="1"/>
      <c r="S87" s="6">
        <f>D87-I87-N87</f>
        <v>704</v>
      </c>
      <c r="T87" s="6">
        <f>E87-J87-O87</f>
        <v>43</v>
      </c>
      <c r="U87" s="6">
        <f>F87-K87-P87</f>
        <v>1</v>
      </c>
      <c r="V87" s="6">
        <f>SUM(S87:T87:U87)</f>
        <v>748</v>
      </c>
      <c r="W87" s="1"/>
      <c r="X87" s="1">
        <v>629</v>
      </c>
      <c r="Y87" s="1">
        <v>39</v>
      </c>
      <c r="Z87" s="1">
        <v>1</v>
      </c>
      <c r="AA87" s="1">
        <f>SUM(X87:Y87:Z87)</f>
        <v>669</v>
      </c>
    </row>
    <row r="88" spans="1:27" x14ac:dyDescent="0.3">
      <c r="A88" t="str">
        <f t="shared" ref="A88:A90" si="18">A87</f>
        <v>Tamil Nadu</v>
      </c>
      <c r="B88" s="1" t="s">
        <v>16</v>
      </c>
      <c r="C88" s="1">
        <v>7</v>
      </c>
      <c r="D88" s="1">
        <v>140</v>
      </c>
      <c r="E88" s="1">
        <v>22</v>
      </c>
      <c r="F88" s="1">
        <v>0</v>
      </c>
      <c r="G88" s="1">
        <f>SUM(D88:E88:F88)</f>
        <v>162</v>
      </c>
      <c r="H88" s="1"/>
      <c r="I88" s="1">
        <v>50</v>
      </c>
      <c r="J88" s="1">
        <v>9</v>
      </c>
      <c r="K88" s="1">
        <v>0</v>
      </c>
      <c r="L88" s="1">
        <f>SUM(I88:J88:K88)</f>
        <v>59</v>
      </c>
      <c r="M88" s="1"/>
      <c r="N88" s="1">
        <v>5</v>
      </c>
      <c r="O88" s="1">
        <v>1</v>
      </c>
      <c r="P88" s="1">
        <v>0</v>
      </c>
      <c r="Q88" s="1">
        <f>SUM(N88:O88:P88)</f>
        <v>6</v>
      </c>
      <c r="R88" s="1"/>
      <c r="S88" s="6">
        <f>D88-I88-N88</f>
        <v>85</v>
      </c>
      <c r="T88" s="6">
        <f>E88-J88-O88</f>
        <v>12</v>
      </c>
      <c r="U88" s="6">
        <f>F88-K88-P88</f>
        <v>0</v>
      </c>
      <c r="V88" s="6">
        <f>SUM(S88:T88:U88)</f>
        <v>97</v>
      </c>
      <c r="W88" s="1"/>
      <c r="X88" s="1">
        <v>70</v>
      </c>
      <c r="Y88" s="1">
        <v>9</v>
      </c>
      <c r="Z88" s="1">
        <v>0</v>
      </c>
      <c r="AA88" s="1">
        <f>SUM(X88:Y88:Z88)</f>
        <v>79</v>
      </c>
    </row>
    <row r="89" spans="1:27" x14ac:dyDescent="0.3">
      <c r="A89" t="str">
        <f t="shared" si="18"/>
        <v>Tamil Nadu</v>
      </c>
      <c r="B89" s="1" t="s">
        <v>17</v>
      </c>
      <c r="C89" s="1">
        <v>0</v>
      </c>
      <c r="D89" s="1">
        <v>0</v>
      </c>
      <c r="E89" s="1">
        <v>0</v>
      </c>
      <c r="F89" s="1">
        <v>0</v>
      </c>
      <c r="G89" s="1">
        <f>SUM(D89:E89:F89)</f>
        <v>0</v>
      </c>
      <c r="H89" s="1"/>
      <c r="I89" s="1">
        <v>0</v>
      </c>
      <c r="J89" s="1">
        <v>0</v>
      </c>
      <c r="K89" s="1">
        <v>0</v>
      </c>
      <c r="L89" s="1">
        <f>SUM(I89:J89:K89)</f>
        <v>0</v>
      </c>
      <c r="M89" s="1"/>
      <c r="N89" s="1">
        <v>0</v>
      </c>
      <c r="O89" s="1">
        <v>0</v>
      </c>
      <c r="P89" s="1">
        <v>0</v>
      </c>
      <c r="Q89" s="1">
        <f>SUM(N89:O89:P89)</f>
        <v>0</v>
      </c>
      <c r="R89" s="1"/>
      <c r="S89" s="6">
        <f>D89-I89-N89</f>
        <v>0</v>
      </c>
      <c r="T89" s="6">
        <f>E89-J89-O89</f>
        <v>0</v>
      </c>
      <c r="U89" s="6">
        <f>F89-K89-P89</f>
        <v>0</v>
      </c>
      <c r="V89" s="6">
        <f>SUM(S89:T89:U89)</f>
        <v>0</v>
      </c>
      <c r="W89" s="1"/>
      <c r="X89" s="1">
        <v>0</v>
      </c>
      <c r="Y89" s="1">
        <v>0</v>
      </c>
      <c r="Z89" s="1">
        <v>0</v>
      </c>
      <c r="AA89" s="1">
        <v>0</v>
      </c>
    </row>
    <row r="90" spans="1:27" s="9" customFormat="1" x14ac:dyDescent="0.3">
      <c r="A90" s="9" t="str">
        <f t="shared" si="18"/>
        <v>Tamil Nadu</v>
      </c>
      <c r="B90" s="8" t="s">
        <v>13</v>
      </c>
      <c r="C90" s="8">
        <f>SUM(C87:C88:C89)</f>
        <v>39</v>
      </c>
      <c r="D90" s="8">
        <f>SUM(D87:D88:D89)</f>
        <v>1230</v>
      </c>
      <c r="E90" s="8">
        <f>SUM(E87:E88:E89)</f>
        <v>123</v>
      </c>
      <c r="F90" s="8">
        <f>SUM(F87:F88:F89)</f>
        <v>2</v>
      </c>
      <c r="G90" s="8">
        <f>SUM(G87:G88:G89)</f>
        <v>1355</v>
      </c>
      <c r="H90" s="8"/>
      <c r="I90" s="8">
        <f>SUM(I87:I88:I89)</f>
        <v>387</v>
      </c>
      <c r="J90" s="8">
        <f>SUM(J87:J88:J89)</f>
        <v>61</v>
      </c>
      <c r="K90" s="8">
        <f>SUM(K87:K88:K89)</f>
        <v>1</v>
      </c>
      <c r="L90" s="8">
        <f>SUM(L87:L88:L89)</f>
        <v>449</v>
      </c>
      <c r="M90" s="8"/>
      <c r="N90" s="8">
        <f>SUM(N87:N88:N89)</f>
        <v>54</v>
      </c>
      <c r="O90" s="8">
        <f>SUM(O87:O88:O89)</f>
        <v>7</v>
      </c>
      <c r="P90" s="8">
        <f>SUM(K87:K88:K89)</f>
        <v>1</v>
      </c>
      <c r="Q90" s="8">
        <f>SUM(Q87:Q88:Q89)</f>
        <v>61</v>
      </c>
      <c r="R90" s="8"/>
      <c r="S90" s="8">
        <f>SUM(S87:S88:S89)</f>
        <v>789</v>
      </c>
      <c r="T90" s="8">
        <f>SUM(T87:T88:T89)</f>
        <v>55</v>
      </c>
      <c r="U90" s="8">
        <f>SUM(U87:U88:U89)</f>
        <v>1</v>
      </c>
      <c r="V90" s="8">
        <f>SUM(V87:V88:V89)</f>
        <v>845</v>
      </c>
      <c r="W90" s="8"/>
      <c r="X90" s="8">
        <f>SUM(X87:X88:X89)</f>
        <v>699</v>
      </c>
      <c r="Y90" s="8">
        <f>SUM(Y87:Y88:Y89)</f>
        <v>48</v>
      </c>
      <c r="Z90" s="8">
        <f>SUM(Z87:Z88:Z89)</f>
        <v>1</v>
      </c>
      <c r="AA90" s="8">
        <f>SUM(AA87:AA88:AA89)</f>
        <v>748</v>
      </c>
    </row>
    <row r="91" spans="1:27" x14ac:dyDescent="0.3">
      <c r="A91" s="1" t="s">
        <v>39</v>
      </c>
      <c r="B91" s="1" t="s">
        <v>15</v>
      </c>
      <c r="C91" s="1">
        <v>1</v>
      </c>
      <c r="D91" s="1">
        <v>12</v>
      </c>
      <c r="E91" s="1">
        <v>1</v>
      </c>
      <c r="F91" s="1">
        <v>0</v>
      </c>
      <c r="G91" s="1">
        <f>SUM(D91:E91:F91)</f>
        <v>13</v>
      </c>
      <c r="H91" s="1"/>
      <c r="I91" s="1">
        <v>0</v>
      </c>
      <c r="J91" s="1">
        <v>0</v>
      </c>
      <c r="K91" s="1">
        <v>0</v>
      </c>
      <c r="L91" s="1">
        <f>SUM(I91:J91:K91)</f>
        <v>0</v>
      </c>
      <c r="M91" s="1"/>
      <c r="N91" s="1">
        <v>0</v>
      </c>
      <c r="O91" s="1">
        <v>0</v>
      </c>
      <c r="P91" s="1">
        <v>0</v>
      </c>
      <c r="Q91" s="1">
        <f>SUM(N91:O91:P91)</f>
        <v>0</v>
      </c>
      <c r="R91" s="1"/>
      <c r="S91" s="6">
        <f>D91-I91-N91</f>
        <v>12</v>
      </c>
      <c r="T91" s="6">
        <f>E91-J91-O91</f>
        <v>1</v>
      </c>
      <c r="U91" s="6">
        <f>F91-K91-P91</f>
        <v>0</v>
      </c>
      <c r="V91" s="6">
        <f>SUM(S91:T91:U91)</f>
        <v>13</v>
      </c>
      <c r="W91" s="1"/>
      <c r="X91" s="1">
        <v>11</v>
      </c>
      <c r="Y91" s="1">
        <v>1</v>
      </c>
      <c r="Z91" s="1">
        <v>0</v>
      </c>
      <c r="AA91" s="1">
        <f>SUM(X91:Y91:Z91)</f>
        <v>12</v>
      </c>
    </row>
    <row r="92" spans="1:27" x14ac:dyDescent="0.3">
      <c r="A92" t="str">
        <f t="shared" ref="A92:A94" si="19">A91</f>
        <v>Tripura</v>
      </c>
      <c r="B92" s="1" t="s">
        <v>16</v>
      </c>
      <c r="C92" s="1">
        <v>1</v>
      </c>
      <c r="D92" s="1">
        <v>10</v>
      </c>
      <c r="E92" s="1">
        <v>2</v>
      </c>
      <c r="F92" s="1">
        <v>0</v>
      </c>
      <c r="G92" s="1">
        <f>SUM(D92:E92:F92)</f>
        <v>12</v>
      </c>
      <c r="H92" s="1"/>
      <c r="I92" s="1">
        <v>0</v>
      </c>
      <c r="J92" s="1">
        <v>0</v>
      </c>
      <c r="K92" s="1">
        <v>0</v>
      </c>
      <c r="L92" s="1">
        <f>SUM(I92:J92:K92)</f>
        <v>0</v>
      </c>
      <c r="M92" s="1"/>
      <c r="N92" s="1">
        <v>0</v>
      </c>
      <c r="O92" s="1">
        <v>0</v>
      </c>
      <c r="P92" s="1">
        <v>0</v>
      </c>
      <c r="Q92" s="1">
        <f>SUM(N92:O92:P92)</f>
        <v>0</v>
      </c>
      <c r="R92" s="1"/>
      <c r="S92" s="6">
        <f>D92-I92-N92</f>
        <v>10</v>
      </c>
      <c r="T92" s="6">
        <f>E92-J92-O92</f>
        <v>2</v>
      </c>
      <c r="U92" s="6">
        <f>F92-K92-P92</f>
        <v>0</v>
      </c>
      <c r="V92" s="6">
        <f>SUM(S92:T92:U92)</f>
        <v>12</v>
      </c>
      <c r="W92" s="1"/>
      <c r="X92" s="1">
        <v>9</v>
      </c>
      <c r="Y92" s="1">
        <v>2</v>
      </c>
      <c r="Z92" s="1">
        <v>0</v>
      </c>
      <c r="AA92" s="1">
        <f>SUM(X92:Y92:Z92)</f>
        <v>11</v>
      </c>
    </row>
    <row r="93" spans="1:27" x14ac:dyDescent="0.3">
      <c r="A93" t="str">
        <f t="shared" si="19"/>
        <v>Tripura</v>
      </c>
      <c r="B93" s="1" t="s">
        <v>17</v>
      </c>
      <c r="C93" s="1">
        <v>0</v>
      </c>
      <c r="D93" s="1">
        <v>0</v>
      </c>
      <c r="E93" s="1">
        <v>0</v>
      </c>
      <c r="F93" s="1">
        <v>0</v>
      </c>
      <c r="G93" s="1">
        <f>SUM(D93:E93:F93)</f>
        <v>0</v>
      </c>
      <c r="H93" s="1"/>
      <c r="I93" s="1">
        <v>0</v>
      </c>
      <c r="J93" s="1">
        <v>0</v>
      </c>
      <c r="K93" s="1">
        <v>0</v>
      </c>
      <c r="L93" s="1">
        <f>SUM(I93:J93:K93)</f>
        <v>0</v>
      </c>
      <c r="M93" s="1"/>
      <c r="N93" s="1">
        <v>0</v>
      </c>
      <c r="O93" s="1">
        <v>0</v>
      </c>
      <c r="P93" s="1">
        <v>0</v>
      </c>
      <c r="Q93" s="1">
        <f>SUM(N93:O93:P93)</f>
        <v>0</v>
      </c>
      <c r="R93" s="1"/>
      <c r="S93" s="6">
        <f>D93-I93-N93</f>
        <v>0</v>
      </c>
      <c r="T93" s="6">
        <f>E93-J93-O93</f>
        <v>0</v>
      </c>
      <c r="U93" s="6">
        <f>F93-K93-P93</f>
        <v>0</v>
      </c>
      <c r="V93" s="6">
        <f>SUM(S93:T93:U93)</f>
        <v>0</v>
      </c>
      <c r="W93" s="1"/>
      <c r="X93" s="1">
        <v>0</v>
      </c>
      <c r="Y93" s="1">
        <v>0</v>
      </c>
      <c r="Z93" s="1">
        <v>0</v>
      </c>
      <c r="AA93" s="1">
        <f>SUM(X93:Y93:Z93)</f>
        <v>0</v>
      </c>
    </row>
    <row r="94" spans="1:27" s="9" customFormat="1" x14ac:dyDescent="0.3">
      <c r="A94" s="9" t="str">
        <f t="shared" si="19"/>
        <v>Tripura</v>
      </c>
      <c r="B94" s="8" t="s">
        <v>13</v>
      </c>
      <c r="C94" s="8">
        <f>SUM(C91:C92:C93)</f>
        <v>2</v>
      </c>
      <c r="D94" s="8">
        <f>SUM(D91:D92:D93)</f>
        <v>22</v>
      </c>
      <c r="E94" s="8">
        <f>SUM(E91:E92:E93)</f>
        <v>3</v>
      </c>
      <c r="F94" s="8">
        <f>SUM(F91:F92:F93)</f>
        <v>0</v>
      </c>
      <c r="G94" s="8">
        <f>SUM(G91:G92:G93)</f>
        <v>25</v>
      </c>
      <c r="H94" s="8"/>
      <c r="I94" s="8">
        <f>SUM(I91:I92:I93)</f>
        <v>0</v>
      </c>
      <c r="J94" s="8">
        <f>SUM(J91:J92:J93)</f>
        <v>0</v>
      </c>
      <c r="K94" s="8">
        <f>SUM(K91:K92:K93)</f>
        <v>0</v>
      </c>
      <c r="L94" s="8">
        <f>SUM(L91:L92:L93)</f>
        <v>0</v>
      </c>
      <c r="M94" s="8"/>
      <c r="N94" s="8">
        <f>SUM(N91:N92:N93)</f>
        <v>0</v>
      </c>
      <c r="O94" s="8">
        <f>SUM(O91:O92:O93)</f>
        <v>0</v>
      </c>
      <c r="P94" s="8">
        <f>SUM(K91:K92:K93)</f>
        <v>0</v>
      </c>
      <c r="Q94" s="8">
        <f>SUM(Q91:Q92:Q93)</f>
        <v>0</v>
      </c>
      <c r="R94" s="8"/>
      <c r="S94" s="8">
        <f>SUM(S91:S92:S93)</f>
        <v>22</v>
      </c>
      <c r="T94" s="8">
        <f>SUM(T91:T92:T93)</f>
        <v>3</v>
      </c>
      <c r="U94" s="8">
        <f>SUM(U91:U92:U93)</f>
        <v>0</v>
      </c>
      <c r="V94" s="8">
        <f>SUM(V91:V92:V93)</f>
        <v>25</v>
      </c>
      <c r="W94" s="8"/>
      <c r="X94" s="8">
        <f>SUM(X91:X92:X93)</f>
        <v>20</v>
      </c>
      <c r="Y94" s="8">
        <f>SUM(Y91:Y92:Y93)</f>
        <v>3</v>
      </c>
      <c r="Z94" s="8">
        <f>SUM(Z91:Z92:Z93)</f>
        <v>0</v>
      </c>
      <c r="AA94" s="8">
        <f>SUM(AA91:AA92:AA93)</f>
        <v>23</v>
      </c>
    </row>
    <row r="95" spans="1:27" x14ac:dyDescent="0.3">
      <c r="A95" s="1" t="s">
        <v>40</v>
      </c>
      <c r="B95" s="1" t="s">
        <v>15</v>
      </c>
      <c r="C95" s="1">
        <v>63</v>
      </c>
      <c r="D95" s="1">
        <v>1429</v>
      </c>
      <c r="E95" s="1">
        <v>148</v>
      </c>
      <c r="F95" s="1">
        <v>4</v>
      </c>
      <c r="G95" s="1">
        <f>SUM(D95:E95:F95)</f>
        <v>1581</v>
      </c>
      <c r="H95" s="1"/>
      <c r="I95" s="1">
        <v>372</v>
      </c>
      <c r="J95" s="1">
        <v>30</v>
      </c>
      <c r="K95" s="1">
        <v>1</v>
      </c>
      <c r="L95" s="1">
        <f>SUM(I95:J95:K95)</f>
        <v>403</v>
      </c>
      <c r="M95" s="1"/>
      <c r="N95" s="1">
        <v>92</v>
      </c>
      <c r="O95" s="1">
        <v>17</v>
      </c>
      <c r="P95" s="1">
        <v>0</v>
      </c>
      <c r="Q95" s="1">
        <f>SUM(N95:O95:P95)</f>
        <v>109</v>
      </c>
      <c r="R95" s="1"/>
      <c r="S95" s="6">
        <f>D95-I95-N95</f>
        <v>965</v>
      </c>
      <c r="T95" s="6">
        <f>E95-J95-O95</f>
        <v>101</v>
      </c>
      <c r="U95" s="6">
        <f>F95-K95-P95</f>
        <v>3</v>
      </c>
      <c r="V95" s="6">
        <f>SUM(S95:T95:U95)</f>
        <v>1069</v>
      </c>
      <c r="W95" s="1"/>
      <c r="X95" s="1">
        <v>830</v>
      </c>
      <c r="Y95" s="1">
        <v>79</v>
      </c>
      <c r="Z95" s="1">
        <v>3</v>
      </c>
      <c r="AA95" s="1">
        <f>SUM(X95:Y95:Z95)</f>
        <v>912</v>
      </c>
    </row>
    <row r="96" spans="1:27" x14ac:dyDescent="0.3">
      <c r="A96" t="str">
        <f t="shared" ref="A96:A98" si="20">A95</f>
        <v>Uttar Pradesh</v>
      </c>
      <c r="B96" s="1" t="s">
        <v>16</v>
      </c>
      <c r="C96" s="1">
        <v>17</v>
      </c>
      <c r="D96" s="1">
        <v>260</v>
      </c>
      <c r="E96" s="1">
        <v>35</v>
      </c>
      <c r="F96" s="1">
        <v>0</v>
      </c>
      <c r="G96" s="1">
        <f>SUM(D96:E96:F96)</f>
        <v>295</v>
      </c>
      <c r="H96" s="1"/>
      <c r="I96" s="1">
        <v>57</v>
      </c>
      <c r="J96" s="1">
        <v>6</v>
      </c>
      <c r="K96" s="1">
        <v>0</v>
      </c>
      <c r="L96" s="1">
        <f>SUM(I96:J96:K96)</f>
        <v>63</v>
      </c>
      <c r="M96" s="1"/>
      <c r="N96" s="1">
        <v>9</v>
      </c>
      <c r="O96" s="1">
        <v>4</v>
      </c>
      <c r="P96" s="1">
        <v>0</v>
      </c>
      <c r="Q96" s="1">
        <f>SUM(N96:O96:P96)</f>
        <v>13</v>
      </c>
      <c r="R96" s="1"/>
      <c r="S96" s="6">
        <f>D96-I96-N96</f>
        <v>194</v>
      </c>
      <c r="T96" s="6">
        <f>E96-J96-O96</f>
        <v>25</v>
      </c>
      <c r="U96" s="6">
        <f>F96-K96-P96</f>
        <v>0</v>
      </c>
      <c r="V96" s="6">
        <f>SUM(S96:T96:U96)</f>
        <v>219</v>
      </c>
      <c r="W96" s="1"/>
      <c r="X96" s="1">
        <v>157</v>
      </c>
      <c r="Y96" s="1">
        <v>18</v>
      </c>
      <c r="Z96" s="1">
        <v>0</v>
      </c>
      <c r="AA96" s="1">
        <f>SUM(X96:Y96:Z96)</f>
        <v>175</v>
      </c>
    </row>
    <row r="97" spans="1:27" x14ac:dyDescent="0.3">
      <c r="A97" t="str">
        <f t="shared" si="20"/>
        <v>Uttar Pradesh</v>
      </c>
      <c r="B97" s="1" t="s">
        <v>17</v>
      </c>
      <c r="C97" s="1">
        <v>0</v>
      </c>
      <c r="D97" s="1">
        <v>0</v>
      </c>
      <c r="E97" s="1">
        <v>0</v>
      </c>
      <c r="F97" s="1">
        <v>0</v>
      </c>
      <c r="G97" s="1">
        <f>SUM(D97:E97:F97)</f>
        <v>0</v>
      </c>
      <c r="H97" s="1"/>
      <c r="I97" s="1">
        <v>0</v>
      </c>
      <c r="J97" s="1">
        <v>0</v>
      </c>
      <c r="K97" s="1">
        <v>0</v>
      </c>
      <c r="L97" s="1">
        <f>SUM(I97:J97:K97)</f>
        <v>0</v>
      </c>
      <c r="M97" s="1"/>
      <c r="N97" s="1">
        <v>0</v>
      </c>
      <c r="O97" s="1">
        <v>0</v>
      </c>
      <c r="P97" s="1">
        <v>0</v>
      </c>
      <c r="Q97" s="1">
        <f>SUM(N97:O97:P97)</f>
        <v>0</v>
      </c>
      <c r="R97" s="1"/>
      <c r="S97" s="6">
        <f>D97-I97-N97</f>
        <v>0</v>
      </c>
      <c r="T97" s="6">
        <f>E97-J97-O97</f>
        <v>0</v>
      </c>
      <c r="U97" s="6">
        <f>F97-K97-P97</f>
        <v>0</v>
      </c>
      <c r="V97" s="6">
        <f>SUM(S97:T97:U97)</f>
        <v>0</v>
      </c>
      <c r="W97" s="1"/>
      <c r="X97" s="1">
        <v>0</v>
      </c>
      <c r="Y97" s="1">
        <v>0</v>
      </c>
      <c r="Z97" s="1">
        <v>0</v>
      </c>
      <c r="AA97" s="1">
        <f>SUM(X97:Y97:Z97)</f>
        <v>0</v>
      </c>
    </row>
    <row r="98" spans="1:27" s="9" customFormat="1" x14ac:dyDescent="0.3">
      <c r="A98" s="9" t="str">
        <f t="shared" si="20"/>
        <v>Uttar Pradesh</v>
      </c>
      <c r="B98" s="8" t="s">
        <v>13</v>
      </c>
      <c r="C98" s="8">
        <f>SUM(C95:C96:C97)</f>
        <v>80</v>
      </c>
      <c r="D98" s="8">
        <f>SUM(D95:D96:D97)</f>
        <v>1689</v>
      </c>
      <c r="E98" s="8">
        <f>SUM(E95:E96:E97)</f>
        <v>183</v>
      </c>
      <c r="F98" s="8">
        <f>SUM(F95:F96:F97)</f>
        <v>4</v>
      </c>
      <c r="G98" s="8">
        <f>SUM(G95:G96:G97)</f>
        <v>1876</v>
      </c>
      <c r="H98" s="8"/>
      <c r="I98" s="8">
        <f>SUM(I95:I96:I97)</f>
        <v>429</v>
      </c>
      <c r="J98" s="8">
        <f>SUM(J95:J96:J97)</f>
        <v>36</v>
      </c>
      <c r="K98" s="8">
        <f>SUM(K95:K96:K97)</f>
        <v>1</v>
      </c>
      <c r="L98" s="8">
        <f>SUM(L95:L96:L97)</f>
        <v>466</v>
      </c>
      <c r="M98" s="8"/>
      <c r="N98" s="8">
        <f>SUM(N95:N96:N97)</f>
        <v>101</v>
      </c>
      <c r="O98" s="8">
        <f>SUM(O95:O96:O97)</f>
        <v>21</v>
      </c>
      <c r="P98" s="8">
        <f>SUM(K95:K96:K97)</f>
        <v>1</v>
      </c>
      <c r="Q98" s="8">
        <f>SUM(Q95:Q96:Q97)</f>
        <v>122</v>
      </c>
      <c r="R98" s="8"/>
      <c r="S98" s="8">
        <f>SUM(S95:S96:S97)</f>
        <v>1159</v>
      </c>
      <c r="T98" s="8">
        <f>SUM(T95:T96:T97)</f>
        <v>126</v>
      </c>
      <c r="U98" s="8">
        <f>SUM(U95:U96:U97)</f>
        <v>3</v>
      </c>
      <c r="V98" s="8">
        <f>SUM(V95:V96:V97)</f>
        <v>1288</v>
      </c>
      <c r="W98" s="8"/>
      <c r="X98" s="8">
        <f>SUM(X95:X96:X97)</f>
        <v>987</v>
      </c>
      <c r="Y98" s="8">
        <f>SUM(Y95:Y96:Y97)</f>
        <v>97</v>
      </c>
      <c r="Z98" s="8">
        <f>SUM(Z95:Z96:Z97)</f>
        <v>3</v>
      </c>
      <c r="AA98" s="8">
        <f>SUM(AA95:AA96:AA97)</f>
        <v>1087</v>
      </c>
    </row>
    <row r="99" spans="1:27" x14ac:dyDescent="0.3">
      <c r="A99" s="1" t="s">
        <v>41</v>
      </c>
      <c r="B99" s="1" t="s">
        <v>15</v>
      </c>
      <c r="C99" s="1">
        <v>30</v>
      </c>
      <c r="D99" s="1">
        <v>339</v>
      </c>
      <c r="E99" s="1">
        <v>38</v>
      </c>
      <c r="F99" s="1">
        <v>0</v>
      </c>
      <c r="G99" s="1">
        <f>SUM(D99:E99:F99)</f>
        <v>377</v>
      </c>
      <c r="H99" s="1"/>
      <c r="I99" s="1">
        <v>15</v>
      </c>
      <c r="J99" s="1">
        <v>1</v>
      </c>
      <c r="K99" s="1">
        <v>0</v>
      </c>
      <c r="L99" s="1">
        <f>SUM(I99:J99:K99)</f>
        <v>16</v>
      </c>
      <c r="M99" s="1"/>
      <c r="N99" s="1">
        <v>6</v>
      </c>
      <c r="O99" s="1">
        <v>0</v>
      </c>
      <c r="P99" s="1">
        <v>0</v>
      </c>
      <c r="Q99" s="1">
        <f>SUM(N99:O99:P99)</f>
        <v>6</v>
      </c>
      <c r="R99" s="1"/>
      <c r="S99" s="6">
        <f>D99-I99-N99</f>
        <v>318</v>
      </c>
      <c r="T99" s="6">
        <f>E99-J99-O99</f>
        <v>37</v>
      </c>
      <c r="U99" s="6">
        <f>F99-K99-P99</f>
        <v>0</v>
      </c>
      <c r="V99" s="6">
        <f>SUM(S99:T99:U99)</f>
        <v>355</v>
      </c>
      <c r="W99" s="1"/>
      <c r="X99" s="1">
        <v>249</v>
      </c>
      <c r="Y99" s="1">
        <v>23</v>
      </c>
      <c r="Z99" s="1">
        <v>0</v>
      </c>
      <c r="AA99" s="1">
        <f>SUM(X99:Y99:Z99)</f>
        <v>272</v>
      </c>
    </row>
    <row r="100" spans="1:27" x14ac:dyDescent="0.3">
      <c r="A100" t="str">
        <f t="shared" ref="A100:A102" si="21">A99</f>
        <v>West Bengal</v>
      </c>
      <c r="B100" s="1" t="s">
        <v>16</v>
      </c>
      <c r="C100" s="1">
        <v>10</v>
      </c>
      <c r="D100" s="1">
        <v>85</v>
      </c>
      <c r="E100" s="1">
        <v>10</v>
      </c>
      <c r="F100" s="1">
        <v>0</v>
      </c>
      <c r="G100" s="1">
        <f>SUM(D100:E100:F100)</f>
        <v>95</v>
      </c>
      <c r="H100" s="1"/>
      <c r="I100" s="1">
        <v>1</v>
      </c>
      <c r="J100" s="1">
        <v>0</v>
      </c>
      <c r="K100" s="1">
        <v>0</v>
      </c>
      <c r="L100" s="1">
        <f>SUM(I100:J100:K100)</f>
        <v>1</v>
      </c>
      <c r="M100" s="1"/>
      <c r="N100" s="1">
        <v>0</v>
      </c>
      <c r="O100" s="1">
        <v>0</v>
      </c>
      <c r="P100" s="1">
        <v>0</v>
      </c>
      <c r="Q100" s="1">
        <f>SUM(N100:O100:P100)</f>
        <v>0</v>
      </c>
      <c r="R100" s="1"/>
      <c r="S100" s="6">
        <f>D100-I100-N100</f>
        <v>84</v>
      </c>
      <c r="T100" s="6">
        <f>E100-J100-O100</f>
        <v>10</v>
      </c>
      <c r="U100" s="6">
        <f>F100-K100-P100</f>
        <v>0</v>
      </c>
      <c r="V100" s="6">
        <f>SUM(S100:T100:U100)</f>
        <v>94</v>
      </c>
      <c r="W100" s="1"/>
      <c r="X100" s="1">
        <v>67</v>
      </c>
      <c r="Y100" s="1">
        <v>4</v>
      </c>
      <c r="Z100" s="1">
        <v>0</v>
      </c>
      <c r="AA100" s="1">
        <f>SUM(X100:Y100:Z100)</f>
        <v>71</v>
      </c>
    </row>
    <row r="101" spans="1:27" x14ac:dyDescent="0.3">
      <c r="A101" t="str">
        <f t="shared" si="21"/>
        <v>West Bengal</v>
      </c>
      <c r="B101" s="1" t="s">
        <v>17</v>
      </c>
      <c r="C101" s="1">
        <v>2</v>
      </c>
      <c r="D101" s="1">
        <v>19</v>
      </c>
      <c r="E101" s="1">
        <v>4</v>
      </c>
      <c r="F101" s="1">
        <v>0</v>
      </c>
      <c r="G101" s="1">
        <f>SUM(D101:E101:F101)</f>
        <v>23</v>
      </c>
      <c r="H101" s="1"/>
      <c r="I101" s="1">
        <v>0</v>
      </c>
      <c r="J101" s="1">
        <v>0</v>
      </c>
      <c r="K101" s="1">
        <v>0</v>
      </c>
      <c r="L101" s="1">
        <f>SUM(I101:J101:K101)</f>
        <v>0</v>
      </c>
      <c r="M101" s="1"/>
      <c r="N101" s="1">
        <v>0</v>
      </c>
      <c r="O101" s="1">
        <v>0</v>
      </c>
      <c r="P101" s="1">
        <v>0</v>
      </c>
      <c r="Q101" s="1">
        <f>SUM(N101:O101:P101)</f>
        <v>0</v>
      </c>
      <c r="R101" s="1"/>
      <c r="S101" s="6">
        <f>D101-I101-N101</f>
        <v>19</v>
      </c>
      <c r="T101" s="6">
        <f>E101-J101-O101</f>
        <v>4</v>
      </c>
      <c r="U101" s="6">
        <f>F101-K101-P101</f>
        <v>0</v>
      </c>
      <c r="V101" s="6">
        <f>SUM(S101:T101:U101)</f>
        <v>23</v>
      </c>
      <c r="W101" s="1"/>
      <c r="X101" s="1">
        <v>15</v>
      </c>
      <c r="Y101" s="1">
        <v>3</v>
      </c>
      <c r="Z101" s="1">
        <v>0</v>
      </c>
      <c r="AA101" s="1">
        <f>SUM(X101:Y101:Z101)</f>
        <v>18</v>
      </c>
    </row>
    <row r="102" spans="1:27" s="9" customFormat="1" x14ac:dyDescent="0.3">
      <c r="A102" s="9" t="str">
        <f t="shared" si="21"/>
        <v>West Bengal</v>
      </c>
      <c r="B102" s="8" t="s">
        <v>13</v>
      </c>
      <c r="C102" s="8">
        <f>SUM(C99:C100:C101)</f>
        <v>42</v>
      </c>
      <c r="D102" s="8">
        <f>SUM(D99:D100:D101)</f>
        <v>443</v>
      </c>
      <c r="E102" s="8">
        <f>SUM(E99:E100:E101)</f>
        <v>52</v>
      </c>
      <c r="F102" s="8">
        <f>SUM(F99:F100:F101)</f>
        <v>0</v>
      </c>
      <c r="G102" s="8">
        <f>SUM(G99:G100:G101)</f>
        <v>495</v>
      </c>
      <c r="H102" s="8"/>
      <c r="I102" s="8">
        <f>SUM(I99:I100:I101)</f>
        <v>16</v>
      </c>
      <c r="J102" s="8">
        <f>SUM(J99:J100:J101)</f>
        <v>1</v>
      </c>
      <c r="K102" s="8">
        <f>SUM(K99:K100:K101)</f>
        <v>0</v>
      </c>
      <c r="L102" s="8">
        <f>SUM(L99:L100:L101)</f>
        <v>17</v>
      </c>
      <c r="M102" s="8"/>
      <c r="N102" s="8">
        <f>SUM(N99:N100:N101)</f>
        <v>6</v>
      </c>
      <c r="O102" s="8">
        <f>SUM(O99:O100:O101)</f>
        <v>0</v>
      </c>
      <c r="P102" s="8">
        <f>SUM(K99:K100:K101)</f>
        <v>0</v>
      </c>
      <c r="Q102" s="8">
        <f>SUM(Q99:Q100:Q101)</f>
        <v>6</v>
      </c>
      <c r="R102" s="8"/>
      <c r="S102" s="8">
        <f>SUM(S99:S100:S101)</f>
        <v>421</v>
      </c>
      <c r="T102" s="8">
        <f>SUM(T99:T100:T101)</f>
        <v>51</v>
      </c>
      <c r="U102" s="8">
        <f>SUM(U99:U100:U101)</f>
        <v>0</v>
      </c>
      <c r="V102" s="8">
        <f>SUM(V99:V100:V101)</f>
        <v>472</v>
      </c>
      <c r="W102" s="8"/>
      <c r="X102" s="8">
        <f>SUM(X99:X100:X101)</f>
        <v>331</v>
      </c>
      <c r="Y102" s="8">
        <f>SUM(Y99:Y100:Y101)</f>
        <v>30</v>
      </c>
      <c r="Z102" s="8">
        <f>SUM(Z99:Z100:Z101)</f>
        <v>0</v>
      </c>
      <c r="AA102" s="8">
        <f>SUM(AA99:AA100:AA101)</f>
        <v>361</v>
      </c>
    </row>
    <row r="103" spans="1:27" x14ac:dyDescent="0.3">
      <c r="A103" s="1" t="s">
        <v>42</v>
      </c>
      <c r="B103" s="1" t="s">
        <v>15</v>
      </c>
      <c r="C103" s="1">
        <v>6</v>
      </c>
      <c r="D103" s="1">
        <v>193</v>
      </c>
      <c r="E103" s="1">
        <v>19</v>
      </c>
      <c r="F103" s="1">
        <v>0</v>
      </c>
      <c r="G103" s="1">
        <f>SUM(D103:E103:F103)</f>
        <v>212</v>
      </c>
      <c r="H103" s="1"/>
      <c r="I103" s="1">
        <v>13</v>
      </c>
      <c r="J103" s="1">
        <v>0</v>
      </c>
      <c r="K103" s="1">
        <v>0</v>
      </c>
      <c r="L103" s="1">
        <f>SUM(I103:J103:K103)</f>
        <v>13</v>
      </c>
      <c r="M103" s="1"/>
      <c r="N103" s="1">
        <v>41</v>
      </c>
      <c r="O103" s="1">
        <v>6</v>
      </c>
      <c r="P103" s="1">
        <v>0</v>
      </c>
      <c r="Q103" s="1">
        <f>SUM(N103:O103:P103)</f>
        <v>47</v>
      </c>
      <c r="R103" s="1"/>
      <c r="S103" s="6">
        <f>D103-I103-N103</f>
        <v>139</v>
      </c>
      <c r="T103" s="6">
        <f>E103-J103-O103</f>
        <v>13</v>
      </c>
      <c r="U103" s="6">
        <f>F103-K103-P103</f>
        <v>0</v>
      </c>
      <c r="V103" s="6">
        <f>SUM(S103:T103:U103)</f>
        <v>152</v>
      </c>
      <c r="W103" s="1"/>
      <c r="X103" s="1">
        <v>129</v>
      </c>
      <c r="Y103" s="1">
        <v>11</v>
      </c>
      <c r="Z103" s="1">
        <v>0</v>
      </c>
      <c r="AA103" s="1">
        <f>SUM(X103:Y103:Z103)</f>
        <v>140</v>
      </c>
    </row>
    <row r="104" spans="1:27" x14ac:dyDescent="0.3">
      <c r="A104" t="str">
        <f t="shared" ref="A104:A106" si="22">A103</f>
        <v>Chhattisgarh</v>
      </c>
      <c r="B104" s="1" t="s">
        <v>16</v>
      </c>
      <c r="C104" s="1">
        <v>1</v>
      </c>
      <c r="D104" s="1">
        <v>16</v>
      </c>
      <c r="E104" s="1">
        <v>2</v>
      </c>
      <c r="F104" s="1">
        <v>0</v>
      </c>
      <c r="G104" s="1">
        <f>SUM(D104:E104:F104)</f>
        <v>18</v>
      </c>
      <c r="H104" s="1"/>
      <c r="I104" s="1">
        <v>1</v>
      </c>
      <c r="J104" s="1">
        <v>0</v>
      </c>
      <c r="K104" s="1">
        <v>0</v>
      </c>
      <c r="L104" s="1">
        <f>SUM(I104:J104:K104)</f>
        <v>1</v>
      </c>
      <c r="M104" s="1"/>
      <c r="N104" s="1">
        <v>2</v>
      </c>
      <c r="O104" s="1">
        <v>0</v>
      </c>
      <c r="P104" s="1">
        <v>0</v>
      </c>
      <c r="Q104" s="1">
        <f>SUM(N104:O104:P104)</f>
        <v>2</v>
      </c>
      <c r="R104" s="1"/>
      <c r="S104" s="6">
        <f>D104-I104-N104</f>
        <v>13</v>
      </c>
      <c r="T104" s="6">
        <f>E104-J104-O104</f>
        <v>2</v>
      </c>
      <c r="U104" s="6">
        <f>F104-K104-P104</f>
        <v>0</v>
      </c>
      <c r="V104" s="6">
        <f>SUM(S104:T104:U104)</f>
        <v>15</v>
      </c>
      <c r="W104" s="1"/>
      <c r="X104" s="1">
        <v>12</v>
      </c>
      <c r="Y104" s="1">
        <v>1</v>
      </c>
      <c r="Z104" s="1">
        <v>0</v>
      </c>
      <c r="AA104" s="1">
        <f>SUM(X104:Y104:Z104)</f>
        <v>13</v>
      </c>
    </row>
    <row r="105" spans="1:27" x14ac:dyDescent="0.3">
      <c r="A105" t="str">
        <f t="shared" si="22"/>
        <v>Chhattisgarh</v>
      </c>
      <c r="B105" s="1" t="s">
        <v>17</v>
      </c>
      <c r="C105" s="1">
        <v>4</v>
      </c>
      <c r="D105" s="1">
        <v>42</v>
      </c>
      <c r="E105" s="1">
        <v>6</v>
      </c>
      <c r="F105" s="1">
        <v>0</v>
      </c>
      <c r="G105" s="1">
        <f>SUM(D105:E105:F105)</f>
        <v>48</v>
      </c>
      <c r="H105" s="1"/>
      <c r="I105" s="1">
        <v>4</v>
      </c>
      <c r="J105" s="1">
        <v>0</v>
      </c>
      <c r="K105" s="1">
        <v>0</v>
      </c>
      <c r="L105" s="1">
        <f>SUM(I105:J105:K105)</f>
        <v>4</v>
      </c>
      <c r="M105" s="1"/>
      <c r="N105" s="1">
        <v>0</v>
      </c>
      <c r="O105" s="1">
        <v>0</v>
      </c>
      <c r="P105" s="1">
        <v>0</v>
      </c>
      <c r="Q105" s="1">
        <f>SUM(N105:O105:P105)</f>
        <v>0</v>
      </c>
      <c r="R105" s="1"/>
      <c r="S105" s="6">
        <f>D105-I105-N105</f>
        <v>38</v>
      </c>
      <c r="T105" s="6">
        <f>E105-J105-O105</f>
        <v>6</v>
      </c>
      <c r="U105" s="6">
        <f>F105-K105-P105</f>
        <v>0</v>
      </c>
      <c r="V105" s="6">
        <f>SUM(S105:T105:U105)</f>
        <v>44</v>
      </c>
      <c r="W105" s="1"/>
      <c r="X105" s="1">
        <v>32</v>
      </c>
      <c r="Y105" s="1">
        <v>4</v>
      </c>
      <c r="Z105" s="1">
        <v>0</v>
      </c>
      <c r="AA105" s="1">
        <f>SUM(X105:Y105:Z105)</f>
        <v>36</v>
      </c>
    </row>
    <row r="106" spans="1:27" s="9" customFormat="1" x14ac:dyDescent="0.3">
      <c r="A106" s="9" t="str">
        <f t="shared" si="22"/>
        <v>Chhattisgarh</v>
      </c>
      <c r="B106" s="8" t="s">
        <v>13</v>
      </c>
      <c r="C106" s="8">
        <f>SUM(C103:C104:C105)</f>
        <v>11</v>
      </c>
      <c r="D106" s="8">
        <f>SUM(D103:D104:D105)</f>
        <v>251</v>
      </c>
      <c r="E106" s="8">
        <f>SUM(E103:E104:E105)</f>
        <v>27</v>
      </c>
      <c r="F106" s="8">
        <f>SUM(F103:F104:F105)</f>
        <v>0</v>
      </c>
      <c r="G106" s="8">
        <f>SUM(G103:G104:G105)</f>
        <v>278</v>
      </c>
      <c r="H106" s="8"/>
      <c r="I106" s="8">
        <f>SUM(I103:I104:I105)</f>
        <v>18</v>
      </c>
      <c r="J106" s="8">
        <f>SUM(J103:J104:J105)</f>
        <v>0</v>
      </c>
      <c r="K106" s="8">
        <f>SUM(K103:K104:K105)</f>
        <v>0</v>
      </c>
      <c r="L106" s="8">
        <f>SUM(L103:L104:L105)</f>
        <v>18</v>
      </c>
      <c r="M106" s="8"/>
      <c r="N106" s="8">
        <f>SUM(N103:N104:N105)</f>
        <v>43</v>
      </c>
      <c r="O106" s="8">
        <f>SUM(O103:O104:O105)</f>
        <v>6</v>
      </c>
      <c r="P106" s="8">
        <f>SUM(K103:K104:K105)</f>
        <v>0</v>
      </c>
      <c r="Q106" s="8">
        <f>SUM(Q103:Q104:Q105)</f>
        <v>49</v>
      </c>
      <c r="R106" s="8"/>
      <c r="S106" s="8">
        <f>SUM(S103:S104:S105)</f>
        <v>190</v>
      </c>
      <c r="T106" s="8">
        <f>SUM(T103:T104:T105)</f>
        <v>21</v>
      </c>
      <c r="U106" s="8">
        <f>SUM(U103:U104:U105)</f>
        <v>0</v>
      </c>
      <c r="V106" s="8">
        <f>SUM(V103:V104:V105)</f>
        <v>211</v>
      </c>
      <c r="W106" s="8"/>
      <c r="X106" s="8">
        <f>SUM(X103:X104:X105)</f>
        <v>173</v>
      </c>
      <c r="Y106" s="8">
        <f>SUM(Y103:Y104:Y105)</f>
        <v>16</v>
      </c>
      <c r="Z106" s="8">
        <f>SUM(Z103:Z104:Z105)</f>
        <v>0</v>
      </c>
      <c r="AA106" s="8">
        <f>SUM(AA103:AA104:AA105)</f>
        <v>189</v>
      </c>
    </row>
    <row r="107" spans="1:27" x14ac:dyDescent="0.3">
      <c r="A107" s="1" t="s">
        <v>43</v>
      </c>
      <c r="B107" s="1" t="s">
        <v>15</v>
      </c>
      <c r="C107" s="1">
        <v>8</v>
      </c>
      <c r="D107" s="1">
        <v>173</v>
      </c>
      <c r="E107" s="1">
        <v>10</v>
      </c>
      <c r="F107" s="1">
        <v>0</v>
      </c>
      <c r="G107" s="1">
        <f>SUM(D107:E107:F107)</f>
        <v>183</v>
      </c>
      <c r="H107" s="1"/>
      <c r="I107" s="1">
        <v>12</v>
      </c>
      <c r="J107" s="1">
        <v>0</v>
      </c>
      <c r="K107" s="1">
        <v>0</v>
      </c>
      <c r="L107" s="1">
        <f>SUM(I107:J107:K107)</f>
        <v>12</v>
      </c>
      <c r="M107" s="1"/>
      <c r="N107" s="1">
        <v>4</v>
      </c>
      <c r="O107" s="1">
        <v>0</v>
      </c>
      <c r="P107" s="1">
        <v>0</v>
      </c>
      <c r="Q107" s="1">
        <f>SUM(N107:O107:P107)</f>
        <v>4</v>
      </c>
      <c r="R107" s="1"/>
      <c r="S107" s="6">
        <f>D107-I107-N107</f>
        <v>157</v>
      </c>
      <c r="T107" s="6">
        <f>E107-J107-O107</f>
        <v>10</v>
      </c>
      <c r="U107" s="6">
        <f>F107-K107-P107</f>
        <v>0</v>
      </c>
      <c r="V107" s="6">
        <f>SUM(S107:T107:U107)</f>
        <v>167</v>
      </c>
      <c r="W107" s="1"/>
      <c r="X107" s="1">
        <v>141</v>
      </c>
      <c r="Y107" s="1">
        <v>10</v>
      </c>
      <c r="Z107" s="1">
        <v>0</v>
      </c>
      <c r="AA107" s="1">
        <f>SUM(X107:Y107:Z107)</f>
        <v>151</v>
      </c>
    </row>
    <row r="108" spans="1:27" x14ac:dyDescent="0.3">
      <c r="A108" t="str">
        <f t="shared" ref="A108:A110" si="23">A107</f>
        <v>Jharkhand</v>
      </c>
      <c r="B108" s="1" t="s">
        <v>16</v>
      </c>
      <c r="C108" s="1">
        <v>1</v>
      </c>
      <c r="D108" s="1">
        <v>13</v>
      </c>
      <c r="E108" s="1">
        <v>1</v>
      </c>
      <c r="F108" s="1">
        <v>0</v>
      </c>
      <c r="G108" s="1">
        <f>SUM(D108:E108:F108)</f>
        <v>14</v>
      </c>
      <c r="H108" s="1"/>
      <c r="I108" s="1">
        <v>1</v>
      </c>
      <c r="J108" s="1">
        <v>0</v>
      </c>
      <c r="K108" s="1">
        <v>0</v>
      </c>
      <c r="L108" s="1">
        <f>SUM(I108:J108:K108)</f>
        <v>1</v>
      </c>
      <c r="M108" s="1"/>
      <c r="N108" s="1">
        <v>0</v>
      </c>
      <c r="O108" s="1">
        <v>0</v>
      </c>
      <c r="P108" s="1">
        <v>0</v>
      </c>
      <c r="Q108" s="1">
        <f>SUM(N108:O108:P108)</f>
        <v>0</v>
      </c>
      <c r="R108" s="1"/>
      <c r="S108" s="6">
        <f>D108-I108-N108</f>
        <v>12</v>
      </c>
      <c r="T108" s="6">
        <f>E108-J108-O108</f>
        <v>1</v>
      </c>
      <c r="U108" s="6">
        <f>F108-K108-P108</f>
        <v>0</v>
      </c>
      <c r="V108" s="6">
        <f>SUM(S108:T108:U108)</f>
        <v>13</v>
      </c>
      <c r="W108" s="1"/>
      <c r="X108" s="1">
        <v>10</v>
      </c>
      <c r="Y108" s="1">
        <v>1</v>
      </c>
      <c r="Z108" s="1">
        <v>0</v>
      </c>
      <c r="AA108" s="1">
        <f>SUM(X108:Y108:Z108)</f>
        <v>11</v>
      </c>
    </row>
    <row r="109" spans="1:27" x14ac:dyDescent="0.3">
      <c r="A109" t="str">
        <f t="shared" si="23"/>
        <v>Jharkhand</v>
      </c>
      <c r="B109" s="1" t="s">
        <v>17</v>
      </c>
      <c r="C109" s="1">
        <v>5</v>
      </c>
      <c r="D109" s="1">
        <v>62</v>
      </c>
      <c r="E109" s="1">
        <v>8</v>
      </c>
      <c r="F109" s="1">
        <v>0</v>
      </c>
      <c r="G109" s="1">
        <f>SUM(D109:E109:F109)</f>
        <v>70</v>
      </c>
      <c r="H109" s="1"/>
      <c r="I109" s="1">
        <v>5</v>
      </c>
      <c r="J109" s="1">
        <v>1</v>
      </c>
      <c r="K109" s="1">
        <v>0</v>
      </c>
      <c r="L109" s="1">
        <f>SUM(I109:J109:K109)</f>
        <v>6</v>
      </c>
      <c r="M109" s="1"/>
      <c r="N109" s="1">
        <v>4</v>
      </c>
      <c r="O109" s="1">
        <v>0</v>
      </c>
      <c r="P109" s="1">
        <v>0</v>
      </c>
      <c r="Q109" s="1">
        <f>SUM(N109:O109:P109)</f>
        <v>4</v>
      </c>
      <c r="R109" s="1"/>
      <c r="S109" s="6">
        <f>D109-I109-N109</f>
        <v>53</v>
      </c>
      <c r="T109" s="6">
        <f>E109-J109-O109</f>
        <v>7</v>
      </c>
      <c r="U109" s="6">
        <f>F109-K109-P109</f>
        <v>0</v>
      </c>
      <c r="V109" s="6">
        <f>SUM(S109:T109:U109)</f>
        <v>60</v>
      </c>
      <c r="W109" s="1"/>
      <c r="X109" s="1">
        <v>41</v>
      </c>
      <c r="Y109" s="1">
        <v>6</v>
      </c>
      <c r="Z109" s="1">
        <v>0</v>
      </c>
      <c r="AA109" s="1">
        <f>SUM(X109:Y109:Z109)</f>
        <v>47</v>
      </c>
    </row>
    <row r="110" spans="1:27" s="9" customFormat="1" x14ac:dyDescent="0.3">
      <c r="A110" s="9" t="str">
        <f t="shared" si="23"/>
        <v>Jharkhand</v>
      </c>
      <c r="B110" s="8" t="s">
        <v>13</v>
      </c>
      <c r="C110" s="8">
        <f>SUM(C107:C108:C109)</f>
        <v>14</v>
      </c>
      <c r="D110" s="8">
        <f>SUM(D107:D108:D109)</f>
        <v>248</v>
      </c>
      <c r="E110" s="8">
        <f>SUM(E107:E108:E109)</f>
        <v>19</v>
      </c>
      <c r="F110" s="8">
        <f>SUM(F107:F108:F109)</f>
        <v>0</v>
      </c>
      <c r="G110" s="8">
        <f>SUM(G107:G108:G109)</f>
        <v>267</v>
      </c>
      <c r="H110" s="8"/>
      <c r="I110" s="8">
        <f>SUM(I107:I108:I109)</f>
        <v>18</v>
      </c>
      <c r="J110" s="8">
        <f>SUM(J107:J108:J109)</f>
        <v>1</v>
      </c>
      <c r="K110" s="8">
        <f>SUM(K107:K108:K109)</f>
        <v>0</v>
      </c>
      <c r="L110" s="8">
        <f>SUM(L107:L108:L109)</f>
        <v>19</v>
      </c>
      <c r="M110" s="8"/>
      <c r="N110" s="8">
        <f>SUM(N107:N108:N109)</f>
        <v>8</v>
      </c>
      <c r="O110" s="8">
        <f>SUM(O107:O108:O109)</f>
        <v>0</v>
      </c>
      <c r="P110" s="8">
        <f>SUM(K107:K108:K109)</f>
        <v>0</v>
      </c>
      <c r="Q110" s="8">
        <f>SUM(Q107:Q108:Q109)</f>
        <v>8</v>
      </c>
      <c r="R110" s="8"/>
      <c r="S110" s="8">
        <f>SUM(S107:S108:S109)</f>
        <v>222</v>
      </c>
      <c r="T110" s="8">
        <f>SUM(T107:T108:T109)</f>
        <v>18</v>
      </c>
      <c r="U110" s="8">
        <f>SUM(U107:U108:U109)</f>
        <v>0</v>
      </c>
      <c r="V110" s="8">
        <f>SUM(V107:V108:V109)</f>
        <v>240</v>
      </c>
      <c r="W110" s="8"/>
      <c r="X110" s="8">
        <f>SUM(X107:X108:X109)</f>
        <v>192</v>
      </c>
      <c r="Y110" s="8">
        <f>SUM(Y107:Y108:Y109)</f>
        <v>17</v>
      </c>
      <c r="Z110" s="8">
        <f>SUM(Z107:Z108:Z109)</f>
        <v>0</v>
      </c>
      <c r="AA110" s="8">
        <f>SUM(AA107:AA108:AA109)</f>
        <v>209</v>
      </c>
    </row>
    <row r="111" spans="1:27" x14ac:dyDescent="0.3">
      <c r="A111" s="1" t="s">
        <v>44</v>
      </c>
      <c r="B111" s="1" t="s">
        <v>15</v>
      </c>
      <c r="C111" s="1">
        <v>4</v>
      </c>
      <c r="D111" s="1">
        <v>76</v>
      </c>
      <c r="E111" s="1">
        <v>9</v>
      </c>
      <c r="F111" s="1">
        <v>0</v>
      </c>
      <c r="G111" s="1">
        <f>SUM(D111:E111:F111)</f>
        <v>85</v>
      </c>
      <c r="H111" s="1"/>
      <c r="I111" s="1">
        <v>13</v>
      </c>
      <c r="J111" s="1">
        <v>2</v>
      </c>
      <c r="K111" s="1">
        <v>0</v>
      </c>
      <c r="L111" s="1">
        <f>SUM(I111:J111:K111)</f>
        <v>15</v>
      </c>
      <c r="M111" s="1"/>
      <c r="N111" s="1">
        <v>5</v>
      </c>
      <c r="O111" s="1">
        <v>0</v>
      </c>
      <c r="P111" s="1">
        <v>0</v>
      </c>
      <c r="Q111" s="1">
        <f>SUM(N111:O111:P111)</f>
        <v>5</v>
      </c>
      <c r="R111" s="1"/>
      <c r="S111" s="6">
        <f>D111-I111-N111</f>
        <v>58</v>
      </c>
      <c r="T111" s="6">
        <f>E111-J111-O111</f>
        <v>7</v>
      </c>
      <c r="U111" s="6">
        <f>F111-K111-P111</f>
        <v>0</v>
      </c>
      <c r="V111" s="6">
        <f>SUM(S111:T111:U111)</f>
        <v>65</v>
      </c>
      <c r="W111" s="1"/>
      <c r="X111" s="1">
        <v>52</v>
      </c>
      <c r="Y111" s="1">
        <v>5</v>
      </c>
      <c r="Z111" s="1">
        <v>0</v>
      </c>
      <c r="AA111" s="1">
        <f>SUM(X111:Y111:Z111)</f>
        <v>57</v>
      </c>
    </row>
    <row r="112" spans="1:27" x14ac:dyDescent="0.3">
      <c r="A112" t="str">
        <f t="shared" ref="A112:A114" si="24">A111</f>
        <v>Uttarakhand</v>
      </c>
      <c r="B112" s="1" t="s">
        <v>16</v>
      </c>
      <c r="C112" s="1">
        <v>1</v>
      </c>
      <c r="D112" s="1">
        <v>11</v>
      </c>
      <c r="E112" s="1">
        <v>0</v>
      </c>
      <c r="F112" s="1">
        <v>0</v>
      </c>
      <c r="G112" s="1">
        <f>SUM(D112:E112:F112)</f>
        <v>11</v>
      </c>
      <c r="H112" s="1"/>
      <c r="I112" s="1">
        <v>2</v>
      </c>
      <c r="J112" s="1">
        <v>0</v>
      </c>
      <c r="K112" s="1">
        <v>0</v>
      </c>
      <c r="L112" s="1">
        <f>SUM(I112:J112:K112)</f>
        <v>2</v>
      </c>
      <c r="M112" s="1"/>
      <c r="N112" s="1">
        <v>0</v>
      </c>
      <c r="O112" s="1">
        <v>0</v>
      </c>
      <c r="P112" s="1">
        <v>0</v>
      </c>
      <c r="Q112" s="1">
        <f>SUM(N112:O112:P112)</f>
        <v>0</v>
      </c>
      <c r="R112" s="1"/>
      <c r="S112" s="6">
        <f>D112-I112-N112</f>
        <v>9</v>
      </c>
      <c r="T112" s="6">
        <f>E112-J112-O112</f>
        <v>0</v>
      </c>
      <c r="U112" s="6">
        <f>F112-K112-P112</f>
        <v>0</v>
      </c>
      <c r="V112" s="6">
        <f>SUM(S112:T112:U112)</f>
        <v>9</v>
      </c>
      <c r="W112" s="1"/>
      <c r="X112" s="1">
        <v>7</v>
      </c>
      <c r="Y112" s="1">
        <v>0</v>
      </c>
      <c r="Z112" s="1">
        <v>0</v>
      </c>
      <c r="AA112" s="1">
        <f>SUM(X112:Y112:Z112)</f>
        <v>7</v>
      </c>
    </row>
    <row r="113" spans="1:27" x14ac:dyDescent="0.3">
      <c r="A113" t="str">
        <f t="shared" si="24"/>
        <v>Uttarakhand</v>
      </c>
      <c r="B113" s="1" t="s">
        <v>17</v>
      </c>
      <c r="C113" s="1">
        <v>0</v>
      </c>
      <c r="D113" s="1">
        <v>0</v>
      </c>
      <c r="E113" s="1">
        <v>0</v>
      </c>
      <c r="F113" s="1">
        <v>0</v>
      </c>
      <c r="G113" s="1">
        <f>SUM(D113:E113:F113)</f>
        <v>0</v>
      </c>
      <c r="H113" s="1"/>
      <c r="I113" s="1">
        <v>0</v>
      </c>
      <c r="J113" s="1">
        <v>0</v>
      </c>
      <c r="K113" s="1">
        <v>0</v>
      </c>
      <c r="L113" s="1">
        <f>SUM(I113:J113:K113)</f>
        <v>0</v>
      </c>
      <c r="M113" s="1"/>
      <c r="N113" s="1">
        <v>0</v>
      </c>
      <c r="O113" s="1">
        <v>0</v>
      </c>
      <c r="P113" s="1">
        <v>0</v>
      </c>
      <c r="Q113" s="1">
        <f>SUM(N113:O113:P113)</f>
        <v>0</v>
      </c>
      <c r="R113" s="1"/>
      <c r="S113" s="6">
        <f>D113-I113-N113</f>
        <v>0</v>
      </c>
      <c r="T113" s="6">
        <f>E113-J113-O113</f>
        <v>0</v>
      </c>
      <c r="U113" s="6">
        <f>F113-K113-P113</f>
        <v>0</v>
      </c>
      <c r="V113" s="6">
        <f>SUM(S113:T113:U113)</f>
        <v>0</v>
      </c>
      <c r="W113" s="1"/>
      <c r="X113" s="1">
        <v>0</v>
      </c>
      <c r="Y113" s="1">
        <v>0</v>
      </c>
      <c r="Z113" s="1">
        <v>0</v>
      </c>
      <c r="AA113" s="1">
        <f>SUM(X113:Y113:Z113)</f>
        <v>0</v>
      </c>
    </row>
    <row r="114" spans="1:27" s="9" customFormat="1" x14ac:dyDescent="0.3">
      <c r="A114" s="9" t="str">
        <f t="shared" si="24"/>
        <v>Uttarakhand</v>
      </c>
      <c r="B114" s="8" t="s">
        <v>13</v>
      </c>
      <c r="C114" s="8">
        <f>SUM(C111:C112:C113)</f>
        <v>5</v>
      </c>
      <c r="D114" s="8">
        <f>SUM(D111:D112:D113)</f>
        <v>87</v>
      </c>
      <c r="E114" s="8">
        <f>SUM(E111:E112:E113)</f>
        <v>9</v>
      </c>
      <c r="F114" s="8">
        <f>SUM(F111:F112:F113)</f>
        <v>0</v>
      </c>
      <c r="G114" s="8">
        <f>SUM(G111:G112:G113)</f>
        <v>96</v>
      </c>
      <c r="H114" s="8"/>
      <c r="I114" s="8">
        <f>SUM(I111:I112:I113)</f>
        <v>15</v>
      </c>
      <c r="J114" s="8">
        <f>SUM(J111:J112:J113)</f>
        <v>2</v>
      </c>
      <c r="K114" s="8">
        <f>SUM(K111:K112:K113)</f>
        <v>0</v>
      </c>
      <c r="L114" s="8">
        <f>SUM(L111:L112:L113)</f>
        <v>17</v>
      </c>
      <c r="M114" s="8"/>
      <c r="N114" s="8">
        <f>SUM(N111:N112:N113)</f>
        <v>5</v>
      </c>
      <c r="O114" s="8">
        <f>SUM(O111:O112:O113)</f>
        <v>0</v>
      </c>
      <c r="P114" s="8">
        <f>SUM(K111:K112:K113)</f>
        <v>0</v>
      </c>
      <c r="Q114" s="8">
        <f>SUM(Q111:Q112:Q113)</f>
        <v>5</v>
      </c>
      <c r="R114" s="8"/>
      <c r="S114" s="8">
        <f>SUM(S111:S112:S113)</f>
        <v>67</v>
      </c>
      <c r="T114" s="8">
        <f>SUM(T111:T112:T113)</f>
        <v>7</v>
      </c>
      <c r="U114" s="8">
        <f>SUM(U111:U112:U113)</f>
        <v>0</v>
      </c>
      <c r="V114" s="8">
        <f>SUM(V111:V112:V113)</f>
        <v>74</v>
      </c>
      <c r="W114" s="8"/>
      <c r="X114" s="8">
        <f>SUM(X111:X112:X113)</f>
        <v>59</v>
      </c>
      <c r="Y114" s="8">
        <f>SUM(Y111:Y112:Y113)</f>
        <v>5</v>
      </c>
      <c r="Z114" s="8">
        <f>SUM(Z111:Z112:Z113)</f>
        <v>0</v>
      </c>
      <c r="AA114" s="8">
        <f>SUM(AA111:AA112:AA113)</f>
        <v>64</v>
      </c>
    </row>
    <row r="115" spans="1:27" x14ac:dyDescent="0.3">
      <c r="A115" s="1" t="s">
        <v>45</v>
      </c>
      <c r="B115" s="1" t="s">
        <v>15</v>
      </c>
      <c r="C115" s="1">
        <v>1</v>
      </c>
      <c r="D115" s="1">
        <v>19</v>
      </c>
      <c r="E115" s="1">
        <v>3</v>
      </c>
      <c r="F115" s="1">
        <v>0</v>
      </c>
      <c r="G115" s="1">
        <f>SUM(D115:E115:F115)</f>
        <v>22</v>
      </c>
      <c r="H115" s="1"/>
      <c r="I115" s="1">
        <v>2</v>
      </c>
      <c r="J115" s="1">
        <v>0</v>
      </c>
      <c r="K115" s="1">
        <v>0</v>
      </c>
      <c r="L115" s="1">
        <f>SUM(I115:J115:K115)</f>
        <v>2</v>
      </c>
      <c r="M115" s="1"/>
      <c r="N115" s="1">
        <v>4</v>
      </c>
      <c r="O115" s="1">
        <v>1</v>
      </c>
      <c r="P115" s="1">
        <v>0</v>
      </c>
      <c r="Q115" s="1">
        <f>SUM(N115:O115:P115)</f>
        <v>5</v>
      </c>
      <c r="R115" s="1"/>
      <c r="S115" s="6">
        <f>D115-I115-N115</f>
        <v>13</v>
      </c>
      <c r="T115" s="6">
        <f>E115-J115-O115</f>
        <v>2</v>
      </c>
      <c r="U115" s="6">
        <f>F115-K115-P115</f>
        <v>0</v>
      </c>
      <c r="V115" s="6">
        <f>SUM(S115:T115:U115)</f>
        <v>15</v>
      </c>
      <c r="W115" s="1"/>
      <c r="X115" s="1">
        <v>11</v>
      </c>
      <c r="Y115" s="1">
        <v>2</v>
      </c>
      <c r="Z115" s="1">
        <v>0</v>
      </c>
      <c r="AA115" s="1">
        <f>SUM(X115:Y115:Z115)</f>
        <v>13</v>
      </c>
    </row>
    <row r="116" spans="1:27" x14ac:dyDescent="0.3">
      <c r="A116" t="str">
        <f t="shared" ref="A116:A118" si="25">A115</f>
        <v>Andaman &amp; Nicobar Islands</v>
      </c>
      <c r="B116" s="1" t="s">
        <v>16</v>
      </c>
      <c r="C116" s="1">
        <v>0</v>
      </c>
      <c r="D116" s="1">
        <v>0</v>
      </c>
      <c r="E116" s="1">
        <v>0</v>
      </c>
      <c r="F116" s="1">
        <v>0</v>
      </c>
      <c r="G116" s="1">
        <f>SUM(D116:E116:F116)</f>
        <v>0</v>
      </c>
      <c r="H116" s="1"/>
      <c r="I116" s="1">
        <v>0</v>
      </c>
      <c r="J116" s="1">
        <v>0</v>
      </c>
      <c r="K116" s="1">
        <v>0</v>
      </c>
      <c r="L116" s="1">
        <f>SUM(I116:J116:K116)</f>
        <v>0</v>
      </c>
      <c r="M116" s="1"/>
      <c r="N116" s="1">
        <v>0</v>
      </c>
      <c r="O116" s="1">
        <v>0</v>
      </c>
      <c r="P116" s="1">
        <v>0</v>
      </c>
      <c r="Q116" s="1">
        <f>SUM(N116:O116:P116)</f>
        <v>0</v>
      </c>
      <c r="R116" s="1"/>
      <c r="S116" s="6">
        <f>D116-I116-N116</f>
        <v>0</v>
      </c>
      <c r="T116" s="6">
        <f>E116-J116-O116</f>
        <v>0</v>
      </c>
      <c r="U116" s="6">
        <f>F116-K116-P116</f>
        <v>0</v>
      </c>
      <c r="V116" s="6">
        <f>SUM(S116:T116:U116)</f>
        <v>0</v>
      </c>
      <c r="W116" s="1"/>
      <c r="X116" s="1">
        <v>0</v>
      </c>
      <c r="Y116" s="1">
        <v>0</v>
      </c>
      <c r="Z116" s="1">
        <v>0</v>
      </c>
      <c r="AA116" s="1">
        <f>SUM(X116:Y116:Z116)</f>
        <v>0</v>
      </c>
    </row>
    <row r="117" spans="1:27" x14ac:dyDescent="0.3">
      <c r="A117" t="str">
        <f t="shared" si="25"/>
        <v>Andaman &amp; Nicobar Islands</v>
      </c>
      <c r="B117" s="1" t="s">
        <v>17</v>
      </c>
      <c r="C117" s="1">
        <v>0</v>
      </c>
      <c r="D117" s="1">
        <v>0</v>
      </c>
      <c r="E117" s="1">
        <v>0</v>
      </c>
      <c r="F117" s="1">
        <v>0</v>
      </c>
      <c r="G117" s="1">
        <f>SUM(D117:E117:F117)</f>
        <v>0</v>
      </c>
      <c r="H117" s="1"/>
      <c r="I117" s="1">
        <v>0</v>
      </c>
      <c r="J117" s="1">
        <v>0</v>
      </c>
      <c r="K117" s="1">
        <v>0</v>
      </c>
      <c r="L117" s="1">
        <f>SUM(I117:J117:K117)</f>
        <v>0</v>
      </c>
      <c r="M117" s="1"/>
      <c r="N117" s="1">
        <v>0</v>
      </c>
      <c r="O117" s="1">
        <v>0</v>
      </c>
      <c r="P117" s="1">
        <v>0</v>
      </c>
      <c r="Q117" s="1">
        <f>SUM(N117:O117:P117)</f>
        <v>0</v>
      </c>
      <c r="R117" s="1"/>
      <c r="S117" s="6">
        <f>D117-I117-N117</f>
        <v>0</v>
      </c>
      <c r="T117" s="6">
        <f>E117-J117-O117</f>
        <v>0</v>
      </c>
      <c r="U117" s="6">
        <f>F117-K117-P117</f>
        <v>0</v>
      </c>
      <c r="V117" s="6">
        <f>SUM(S117:T117:U117)</f>
        <v>0</v>
      </c>
      <c r="W117" s="1"/>
      <c r="X117" s="1">
        <v>0</v>
      </c>
      <c r="Y117" s="1">
        <v>0</v>
      </c>
      <c r="Z117" s="1">
        <v>0</v>
      </c>
      <c r="AA117" s="1">
        <f>SUM(X117:Y117:Z117)</f>
        <v>0</v>
      </c>
    </row>
    <row r="118" spans="1:27" s="9" customFormat="1" x14ac:dyDescent="0.3">
      <c r="A118" s="9" t="str">
        <f t="shared" si="25"/>
        <v>Andaman &amp; Nicobar Islands</v>
      </c>
      <c r="B118" s="8" t="s">
        <v>13</v>
      </c>
      <c r="C118" s="8">
        <f>SUM(C115:C116:C117)</f>
        <v>1</v>
      </c>
      <c r="D118" s="8">
        <f>SUM(D115:D116:D117)</f>
        <v>19</v>
      </c>
      <c r="E118" s="8">
        <f>SUM(E115:E116:E117)</f>
        <v>3</v>
      </c>
      <c r="F118" s="8">
        <f>SUM(F115:F116:F117)</f>
        <v>0</v>
      </c>
      <c r="G118" s="8">
        <f>SUM(G115:G116:G117)</f>
        <v>22</v>
      </c>
      <c r="H118" s="8"/>
      <c r="I118" s="8">
        <f>SUM(I115:I116:I117)</f>
        <v>2</v>
      </c>
      <c r="J118" s="8">
        <f>SUM(J115:J116:J117)</f>
        <v>0</v>
      </c>
      <c r="K118" s="8">
        <f>SUM(K115:K116:K117)</f>
        <v>0</v>
      </c>
      <c r="L118" s="8">
        <f>SUM(L115:L116:L117)</f>
        <v>2</v>
      </c>
      <c r="M118" s="8"/>
      <c r="N118" s="8">
        <f>SUM(N115:N116:N117)</f>
        <v>4</v>
      </c>
      <c r="O118" s="8">
        <f>SUM(O115:O116:O117)</f>
        <v>1</v>
      </c>
      <c r="P118" s="8">
        <f>SUM(K115:K116:K117)</f>
        <v>0</v>
      </c>
      <c r="Q118" s="8">
        <f>SUM(Q115:Q116:Q117)</f>
        <v>5</v>
      </c>
      <c r="R118" s="8"/>
      <c r="S118" s="8">
        <f>SUM(S115:S116:S117)</f>
        <v>13</v>
      </c>
      <c r="T118" s="8">
        <f>SUM(T115:T116:T117)</f>
        <v>2</v>
      </c>
      <c r="U118" s="8">
        <f>SUM(U115:U116:U117)</f>
        <v>0</v>
      </c>
      <c r="V118" s="8">
        <f>SUM(V115:V116:V117)</f>
        <v>15</v>
      </c>
      <c r="W118" s="8"/>
      <c r="X118" s="8">
        <f>SUM(X115:X116:X117)</f>
        <v>11</v>
      </c>
      <c r="Y118" s="8">
        <f>SUM(Y115:Y116:Y117)</f>
        <v>2</v>
      </c>
      <c r="Z118" s="8">
        <f>SUM(Z115:Z116:Z117)</f>
        <v>0</v>
      </c>
      <c r="AA118" s="8">
        <f>SUM(AA115:AA116:AA117)</f>
        <v>13</v>
      </c>
    </row>
    <row r="119" spans="1:27" x14ac:dyDescent="0.3">
      <c r="A119" s="1" t="s">
        <v>46</v>
      </c>
      <c r="B119" s="1" t="s">
        <v>15</v>
      </c>
      <c r="C119" s="1">
        <v>1</v>
      </c>
      <c r="D119" s="1">
        <v>15</v>
      </c>
      <c r="E119" s="1">
        <v>6</v>
      </c>
      <c r="F119" s="1">
        <v>0</v>
      </c>
      <c r="G119" s="1">
        <f>SUM(D119:E119:F119)</f>
        <v>21</v>
      </c>
      <c r="H119" s="1"/>
      <c r="I119" s="1">
        <v>2</v>
      </c>
      <c r="J119" s="1">
        <v>0</v>
      </c>
      <c r="K119" s="1">
        <v>0</v>
      </c>
      <c r="L119" s="1">
        <f>SUM(I119:J119:K119)</f>
        <v>2</v>
      </c>
      <c r="M119" s="1"/>
      <c r="N119" s="1">
        <v>1</v>
      </c>
      <c r="O119" s="1">
        <v>1</v>
      </c>
      <c r="P119" s="1">
        <v>0</v>
      </c>
      <c r="Q119" s="1">
        <f>SUM(N119:O119:P119)</f>
        <v>2</v>
      </c>
      <c r="R119" s="1"/>
      <c r="S119" s="6">
        <f>D119-I119-N119</f>
        <v>12</v>
      </c>
      <c r="T119" s="6">
        <f>E119-J119-O119</f>
        <v>5</v>
      </c>
      <c r="U119" s="6">
        <f>F119-K119-P119</f>
        <v>0</v>
      </c>
      <c r="V119" s="6">
        <f>SUM(S119:T119:U119)</f>
        <v>17</v>
      </c>
      <c r="W119" s="1"/>
      <c r="X119" s="1">
        <v>11</v>
      </c>
      <c r="Y119" s="1">
        <v>3</v>
      </c>
      <c r="Z119" s="1">
        <v>0</v>
      </c>
      <c r="AA119" s="1">
        <f>SUM(X119:Y119:Z119)</f>
        <v>14</v>
      </c>
    </row>
    <row r="120" spans="1:27" x14ac:dyDescent="0.3">
      <c r="A120" t="str">
        <f t="shared" ref="A120:A122" si="26">A119</f>
        <v>Chandigarh</v>
      </c>
      <c r="B120" s="1" t="s">
        <v>16</v>
      </c>
      <c r="C120" s="1">
        <v>0</v>
      </c>
      <c r="D120" s="1">
        <v>0</v>
      </c>
      <c r="E120" s="1">
        <v>0</v>
      </c>
      <c r="F120" s="1">
        <v>0</v>
      </c>
      <c r="G120" s="1">
        <f>SUM(D120:E120:F120)</f>
        <v>0</v>
      </c>
      <c r="H120" s="1"/>
      <c r="I120" s="1">
        <v>0</v>
      </c>
      <c r="J120" s="1">
        <v>0</v>
      </c>
      <c r="K120" s="1">
        <v>0</v>
      </c>
      <c r="L120" s="1">
        <f>SUM(I120:J120:K120)</f>
        <v>0</v>
      </c>
      <c r="M120" s="1"/>
      <c r="N120" s="1">
        <v>0</v>
      </c>
      <c r="O120" s="1">
        <v>0</v>
      </c>
      <c r="P120" s="1">
        <v>0</v>
      </c>
      <c r="Q120" s="1">
        <f>SUM(N120:O120:P120)</f>
        <v>0</v>
      </c>
      <c r="R120" s="1"/>
      <c r="S120" s="6">
        <f>D120-I120-N120</f>
        <v>0</v>
      </c>
      <c r="T120" s="6">
        <f>E120-J120-O120</f>
        <v>0</v>
      </c>
      <c r="U120" s="6">
        <f>F120-K120-P120</f>
        <v>0</v>
      </c>
      <c r="V120" s="6">
        <f>SUM(S120:T120:U120)</f>
        <v>0</v>
      </c>
      <c r="W120" s="1"/>
      <c r="X120" s="1">
        <v>0</v>
      </c>
      <c r="Y120" s="1">
        <v>0</v>
      </c>
      <c r="Z120" s="1">
        <v>0</v>
      </c>
      <c r="AA120" s="1">
        <f>SUM(X120:Y120:Z120)</f>
        <v>0</v>
      </c>
    </row>
    <row r="121" spans="1:27" x14ac:dyDescent="0.3">
      <c r="A121" t="str">
        <f t="shared" si="26"/>
        <v>Chandigarh</v>
      </c>
      <c r="B121" s="1" t="s">
        <v>17</v>
      </c>
      <c r="C121" s="1">
        <v>0</v>
      </c>
      <c r="D121" s="1">
        <v>0</v>
      </c>
      <c r="E121" s="1">
        <v>0</v>
      </c>
      <c r="F121" s="1">
        <v>0</v>
      </c>
      <c r="G121" s="1">
        <f>SUM(D121:E121:F121)</f>
        <v>0</v>
      </c>
      <c r="H121" s="1"/>
      <c r="I121" s="1">
        <v>0</v>
      </c>
      <c r="J121" s="1">
        <v>0</v>
      </c>
      <c r="K121" s="1">
        <v>0</v>
      </c>
      <c r="L121" s="1">
        <f>SUM(I121:J121:K121)</f>
        <v>0</v>
      </c>
      <c r="M121" s="1"/>
      <c r="N121" s="1">
        <v>0</v>
      </c>
      <c r="O121" s="1">
        <v>0</v>
      </c>
      <c r="P121" s="1">
        <v>0</v>
      </c>
      <c r="Q121" s="1">
        <f>SUM(N121:O121:P121)</f>
        <v>0</v>
      </c>
      <c r="R121" s="1"/>
      <c r="S121" s="6">
        <f>D121-I121-N121</f>
        <v>0</v>
      </c>
      <c r="T121" s="6">
        <f>E121-J121-O121</f>
        <v>0</v>
      </c>
      <c r="U121" s="6">
        <f>F121-K121-P121</f>
        <v>0</v>
      </c>
      <c r="V121" s="6">
        <f>SUM(S121:T121:U121)</f>
        <v>0</v>
      </c>
      <c r="W121" s="1"/>
      <c r="X121" s="1">
        <v>0</v>
      </c>
      <c r="Y121" s="1">
        <v>0</v>
      </c>
      <c r="Z121" s="1">
        <v>0</v>
      </c>
      <c r="AA121" s="1">
        <f>SUM(X121:Y121:Z121)</f>
        <v>0</v>
      </c>
    </row>
    <row r="122" spans="1:27" s="9" customFormat="1" x14ac:dyDescent="0.3">
      <c r="A122" s="9" t="str">
        <f t="shared" si="26"/>
        <v>Chandigarh</v>
      </c>
      <c r="B122" s="8" t="s">
        <v>13</v>
      </c>
      <c r="C122" s="8">
        <f>SUM(C119:C120:C121)</f>
        <v>1</v>
      </c>
      <c r="D122" s="8">
        <f>SUM(D119:D120:D121)</f>
        <v>15</v>
      </c>
      <c r="E122" s="8">
        <f>SUM(E119:E120:E121)</f>
        <v>6</v>
      </c>
      <c r="F122" s="8">
        <f>SUM(F119:F120:F121)</f>
        <v>0</v>
      </c>
      <c r="G122" s="8">
        <f>SUM(G119:G120:G121)</f>
        <v>21</v>
      </c>
      <c r="H122" s="8"/>
      <c r="I122" s="8">
        <f>SUM(I119:I120:I121)</f>
        <v>2</v>
      </c>
      <c r="J122" s="8">
        <f>SUM(J119:J120:J121)</f>
        <v>0</v>
      </c>
      <c r="K122" s="8">
        <f>SUM(K119:K120:K121)</f>
        <v>0</v>
      </c>
      <c r="L122" s="8">
        <f>SUM(L119:L120:L121)</f>
        <v>2</v>
      </c>
      <c r="M122" s="8"/>
      <c r="N122" s="8">
        <f>SUM(N119:N120:N121)</f>
        <v>1</v>
      </c>
      <c r="O122" s="8">
        <f>SUM(O119:O120:O121)</f>
        <v>1</v>
      </c>
      <c r="P122" s="8">
        <f>SUM(K119:K120:K121)</f>
        <v>0</v>
      </c>
      <c r="Q122" s="8">
        <f>SUM(Q119:Q120:Q121)</f>
        <v>2</v>
      </c>
      <c r="R122" s="8"/>
      <c r="S122" s="8">
        <f>SUM(S119:S120:S121)</f>
        <v>12</v>
      </c>
      <c r="T122" s="8">
        <f>SUM(T119:T120:T121)</f>
        <v>5</v>
      </c>
      <c r="U122" s="8">
        <f>SUM(U119:U120:U121)</f>
        <v>0</v>
      </c>
      <c r="V122" s="8">
        <f>SUM(V119:V120:V121)</f>
        <v>17</v>
      </c>
      <c r="W122" s="8"/>
      <c r="X122" s="8">
        <f>SUM(X119:X120:X121)</f>
        <v>11</v>
      </c>
      <c r="Y122" s="8">
        <f>SUM(Y119:Y120:Y121)</f>
        <v>3</v>
      </c>
      <c r="Z122" s="8">
        <f>SUM(Z119:Z120:Z121)</f>
        <v>0</v>
      </c>
      <c r="AA122" s="8">
        <f>SUM(AA119:AA120:AA121)</f>
        <v>14</v>
      </c>
    </row>
    <row r="123" spans="1:27" x14ac:dyDescent="0.3">
      <c r="A123" s="1" t="s">
        <v>47</v>
      </c>
      <c r="B123" s="1" t="s">
        <v>15</v>
      </c>
      <c r="C123" s="1">
        <v>1</v>
      </c>
      <c r="D123" s="1">
        <v>13</v>
      </c>
      <c r="E123" s="1">
        <v>1</v>
      </c>
      <c r="F123" s="1">
        <v>0</v>
      </c>
      <c r="G123" s="1">
        <f>SUM(D123:E123:F123)</f>
        <v>14</v>
      </c>
      <c r="H123" s="1"/>
      <c r="I123" s="1">
        <v>2</v>
      </c>
      <c r="J123" s="1">
        <v>0</v>
      </c>
      <c r="K123" s="1">
        <v>0</v>
      </c>
      <c r="L123" s="1">
        <f>SUM(I123:J123:K123)</f>
        <v>2</v>
      </c>
      <c r="M123" s="1"/>
      <c r="N123" s="1">
        <v>1</v>
      </c>
      <c r="O123" s="1">
        <v>0</v>
      </c>
      <c r="P123" s="1">
        <v>0</v>
      </c>
      <c r="Q123" s="1">
        <f>SUM(N123:O123:P123)</f>
        <v>1</v>
      </c>
      <c r="R123" s="1"/>
      <c r="S123" s="6">
        <f>D123-I123-N123</f>
        <v>10</v>
      </c>
      <c r="T123" s="6">
        <f>E123-J123-O123</f>
        <v>1</v>
      </c>
      <c r="U123" s="6">
        <f>F123-K123-P123</f>
        <v>0</v>
      </c>
      <c r="V123" s="6">
        <f>SUM(S123:T123:U123)</f>
        <v>11</v>
      </c>
      <c r="W123" s="1"/>
      <c r="X123" s="1">
        <v>8</v>
      </c>
      <c r="Y123" s="1">
        <v>1</v>
      </c>
      <c r="Z123" s="1">
        <v>0</v>
      </c>
      <c r="AA123" s="1">
        <f>SUM(X123:Y123:Z123)</f>
        <v>9</v>
      </c>
    </row>
    <row r="124" spans="1:27" x14ac:dyDescent="0.3">
      <c r="A124" t="str">
        <f t="shared" ref="A124:A126" si="27">A123</f>
        <v>Dadra &amp; Nagar Haveli</v>
      </c>
      <c r="B124" s="1" t="s">
        <v>16</v>
      </c>
      <c r="C124" s="1">
        <v>0</v>
      </c>
      <c r="D124" s="1">
        <v>0</v>
      </c>
      <c r="E124" s="1">
        <v>0</v>
      </c>
      <c r="F124" s="1">
        <v>0</v>
      </c>
      <c r="G124" s="1">
        <f>SUM(D124:E124:F124)</f>
        <v>0</v>
      </c>
      <c r="H124" s="1"/>
      <c r="I124" s="1">
        <v>0</v>
      </c>
      <c r="J124" s="1">
        <v>0</v>
      </c>
      <c r="K124" s="1">
        <v>0</v>
      </c>
      <c r="L124" s="1">
        <f>SUM(I124:J124:K124)</f>
        <v>0</v>
      </c>
      <c r="M124" s="1"/>
      <c r="N124" s="1">
        <v>0</v>
      </c>
      <c r="O124" s="1">
        <v>0</v>
      </c>
      <c r="P124" s="1">
        <v>0</v>
      </c>
      <c r="Q124" s="1">
        <f>SUM(N124:O124:P124)</f>
        <v>0</v>
      </c>
      <c r="R124" s="1"/>
      <c r="S124" s="6">
        <f>D124-I124-N124</f>
        <v>0</v>
      </c>
      <c r="T124" s="6">
        <f>E124-J124-O124</f>
        <v>0</v>
      </c>
      <c r="U124" s="6">
        <f>F124-K124-P124</f>
        <v>0</v>
      </c>
      <c r="V124" s="6">
        <f>SUM(S124:T124:U124)</f>
        <v>0</v>
      </c>
      <c r="W124" s="1"/>
      <c r="X124" s="1">
        <v>0</v>
      </c>
      <c r="Y124" s="1">
        <v>0</v>
      </c>
      <c r="Z124" s="1">
        <v>0</v>
      </c>
      <c r="AA124" s="1">
        <f>SUM(X124:Y124:Z124)</f>
        <v>0</v>
      </c>
    </row>
    <row r="125" spans="1:27" x14ac:dyDescent="0.3">
      <c r="A125" t="str">
        <f t="shared" si="27"/>
        <v>Dadra &amp; Nagar Haveli</v>
      </c>
      <c r="B125" s="1" t="s">
        <v>17</v>
      </c>
      <c r="C125" s="1">
        <v>0</v>
      </c>
      <c r="D125" s="1">
        <v>0</v>
      </c>
      <c r="E125" s="1">
        <v>0</v>
      </c>
      <c r="F125" s="1">
        <v>0</v>
      </c>
      <c r="G125" s="1">
        <f>SUM(D125:E125:F125)</f>
        <v>0</v>
      </c>
      <c r="H125" s="1"/>
      <c r="I125" s="1">
        <v>0</v>
      </c>
      <c r="J125" s="1">
        <v>0</v>
      </c>
      <c r="K125" s="1">
        <v>0</v>
      </c>
      <c r="L125" s="1">
        <f>SUM(I125:J125:K125)</f>
        <v>0</v>
      </c>
      <c r="M125" s="1"/>
      <c r="N125" s="1">
        <v>0</v>
      </c>
      <c r="O125" s="1">
        <v>0</v>
      </c>
      <c r="P125" s="1">
        <v>0</v>
      </c>
      <c r="Q125" s="1">
        <f>SUM(N125:O125:P125)</f>
        <v>0</v>
      </c>
      <c r="R125" s="1"/>
      <c r="S125" s="6">
        <f>D125-I125-N125</f>
        <v>0</v>
      </c>
      <c r="T125" s="6">
        <f>E125-J125-O125</f>
        <v>0</v>
      </c>
      <c r="U125" s="6">
        <f>F125-K125-P125</f>
        <v>0</v>
      </c>
      <c r="V125" s="6">
        <f>SUM(S125:T125:U125)</f>
        <v>0</v>
      </c>
      <c r="W125" s="1"/>
      <c r="X125" s="1">
        <v>0</v>
      </c>
      <c r="Y125" s="1">
        <v>0</v>
      </c>
      <c r="Z125" s="1">
        <v>0</v>
      </c>
      <c r="AA125" s="1">
        <f>SUM(X125:Y125:Z125)</f>
        <v>0</v>
      </c>
    </row>
    <row r="126" spans="1:27" s="9" customFormat="1" x14ac:dyDescent="0.3">
      <c r="A126" s="9" t="str">
        <f t="shared" si="27"/>
        <v>Dadra &amp; Nagar Haveli</v>
      </c>
      <c r="B126" s="8" t="s">
        <v>13</v>
      </c>
      <c r="C126" s="8">
        <f>SUM(C123:C124:C125)</f>
        <v>1</v>
      </c>
      <c r="D126" s="8">
        <f>SUM(D123:D124:D125)</f>
        <v>13</v>
      </c>
      <c r="E126" s="8">
        <f>SUM(E123:E124:E125)</f>
        <v>1</v>
      </c>
      <c r="F126" s="8">
        <f>SUM(F123:F124:F125)</f>
        <v>0</v>
      </c>
      <c r="G126" s="8">
        <f>SUM(G123:G124:G125)</f>
        <v>14</v>
      </c>
      <c r="H126" s="8"/>
      <c r="I126" s="8">
        <f>SUM(I123:I124:I125)</f>
        <v>2</v>
      </c>
      <c r="J126" s="8">
        <f>SUM(J123:J124:J125)</f>
        <v>0</v>
      </c>
      <c r="K126" s="8">
        <f>SUM(K123:K124:K125)</f>
        <v>0</v>
      </c>
      <c r="L126" s="8">
        <f>SUM(L123:L124:L125)</f>
        <v>2</v>
      </c>
      <c r="M126" s="8"/>
      <c r="N126" s="8">
        <f>SUM(N123:N124:N125)</f>
        <v>1</v>
      </c>
      <c r="O126" s="8">
        <f>SUM(O123:O124:O125)</f>
        <v>0</v>
      </c>
      <c r="P126" s="8">
        <f>SUM(K123:K124:K125)</f>
        <v>0</v>
      </c>
      <c r="Q126" s="8">
        <f>SUM(Q123:Q124:Q125)</f>
        <v>1</v>
      </c>
      <c r="R126" s="8"/>
      <c r="S126" s="8">
        <f>SUM(S123:S124:S125)</f>
        <v>10</v>
      </c>
      <c r="T126" s="8">
        <f>SUM(T123:T124:T125)</f>
        <v>1</v>
      </c>
      <c r="U126" s="8">
        <f>SUM(U123:U124:U125)</f>
        <v>0</v>
      </c>
      <c r="V126" s="8">
        <f>SUM(V123:V124:V125)</f>
        <v>11</v>
      </c>
      <c r="W126" s="8"/>
      <c r="X126" s="8">
        <f>SUM(X123:X124:X125)</f>
        <v>8</v>
      </c>
      <c r="Y126" s="8">
        <f>SUM(Y123:Y124:Y125)</f>
        <v>1</v>
      </c>
      <c r="Z126" s="8">
        <f>SUM(Z123:Z124:Z125)</f>
        <v>0</v>
      </c>
      <c r="AA126" s="8">
        <f>SUM(AA123:AA124:AA125)</f>
        <v>9</v>
      </c>
    </row>
    <row r="127" spans="1:27" x14ac:dyDescent="0.3">
      <c r="A127" s="1" t="s">
        <v>48</v>
      </c>
      <c r="B127" s="1" t="s">
        <v>15</v>
      </c>
      <c r="C127" s="1">
        <v>1</v>
      </c>
      <c r="D127" s="1">
        <v>4</v>
      </c>
      <c r="E127" s="1">
        <v>1</v>
      </c>
      <c r="F127" s="1">
        <v>0</v>
      </c>
      <c r="G127" s="1">
        <f>SUM(D127:E127:F127)</f>
        <v>5</v>
      </c>
      <c r="H127" s="1"/>
      <c r="I127" s="1">
        <v>0</v>
      </c>
      <c r="J127" s="1">
        <v>1</v>
      </c>
      <c r="K127" s="1">
        <v>0</v>
      </c>
      <c r="L127" s="1">
        <f>SUM(I127:J127:K127)</f>
        <v>1</v>
      </c>
      <c r="M127" s="1"/>
      <c r="N127" s="1">
        <v>0</v>
      </c>
      <c r="O127" s="1">
        <v>0</v>
      </c>
      <c r="P127" s="1">
        <v>0</v>
      </c>
      <c r="Q127" s="1">
        <f>SUM(N127:O127:P127)</f>
        <v>0</v>
      </c>
      <c r="R127" s="1"/>
      <c r="S127" s="6">
        <f>D127-I127-N127</f>
        <v>4</v>
      </c>
      <c r="T127" s="6">
        <f>E127-J127-O127</f>
        <v>0</v>
      </c>
      <c r="U127" s="6">
        <f>F127-K127-P127</f>
        <v>0</v>
      </c>
      <c r="V127" s="6">
        <f>SUM(S127:T127:U127)</f>
        <v>4</v>
      </c>
      <c r="W127" s="1"/>
      <c r="X127" s="1">
        <v>2</v>
      </c>
      <c r="Y127" s="1">
        <v>0</v>
      </c>
      <c r="Z127" s="1">
        <v>0</v>
      </c>
      <c r="AA127" s="1">
        <f>SUM(X127:Y127:Z127)</f>
        <v>2</v>
      </c>
    </row>
    <row r="128" spans="1:27" x14ac:dyDescent="0.3">
      <c r="A128" t="str">
        <f t="shared" ref="A128:A130" si="28">A127</f>
        <v>Daman &amp; Diu</v>
      </c>
      <c r="B128" s="1" t="s">
        <v>16</v>
      </c>
      <c r="C128" s="1">
        <v>0</v>
      </c>
      <c r="D128" s="1">
        <v>0</v>
      </c>
      <c r="E128" s="1">
        <v>0</v>
      </c>
      <c r="F128" s="1">
        <v>0</v>
      </c>
      <c r="G128" s="1">
        <f>SUM(D128:E128:F128)</f>
        <v>0</v>
      </c>
      <c r="H128" s="1"/>
      <c r="I128" s="1">
        <v>0</v>
      </c>
      <c r="J128" s="1">
        <v>0</v>
      </c>
      <c r="K128" s="1">
        <v>0</v>
      </c>
      <c r="L128" s="1">
        <f>SUM(I128:J128:K128)</f>
        <v>0</v>
      </c>
      <c r="M128" s="1"/>
      <c r="N128" s="1">
        <v>0</v>
      </c>
      <c r="O128" s="1">
        <v>0</v>
      </c>
      <c r="P128" s="1">
        <v>0</v>
      </c>
      <c r="Q128" s="1">
        <f>SUM(N128:O128:P128)</f>
        <v>0</v>
      </c>
      <c r="R128" s="1"/>
      <c r="S128" s="6">
        <f>D128-I128-N128</f>
        <v>0</v>
      </c>
      <c r="T128" s="6">
        <f>E128-J128-O128</f>
        <v>0</v>
      </c>
      <c r="U128" s="6">
        <f>F128-K128-P128</f>
        <v>0</v>
      </c>
      <c r="V128" s="6">
        <f>SUM(S128:T128:U128)</f>
        <v>0</v>
      </c>
      <c r="W128" s="1"/>
      <c r="X128" s="1">
        <v>0</v>
      </c>
      <c r="Y128" s="1">
        <v>0</v>
      </c>
      <c r="Z128" s="1">
        <v>0</v>
      </c>
      <c r="AA128" s="1">
        <f>SUM(X128:Y128:Z128)</f>
        <v>0</v>
      </c>
    </row>
    <row r="129" spans="1:27" x14ac:dyDescent="0.3">
      <c r="A129" t="str">
        <f t="shared" si="28"/>
        <v>Daman &amp; Diu</v>
      </c>
      <c r="B129" s="1" t="s">
        <v>17</v>
      </c>
      <c r="C129" s="1">
        <v>0</v>
      </c>
      <c r="D129" s="1">
        <v>0</v>
      </c>
      <c r="E129" s="1">
        <v>0</v>
      </c>
      <c r="F129" s="1">
        <v>0</v>
      </c>
      <c r="G129" s="1">
        <f>SUM(D129:E129:F129)</f>
        <v>0</v>
      </c>
      <c r="H129" s="1"/>
      <c r="I129" s="1">
        <v>0</v>
      </c>
      <c r="J129" s="1">
        <v>0</v>
      </c>
      <c r="K129" s="1">
        <v>0</v>
      </c>
      <c r="L129" s="1">
        <f>SUM(I129:J129:K129)</f>
        <v>0</v>
      </c>
      <c r="M129" s="1"/>
      <c r="N129" s="1">
        <v>0</v>
      </c>
      <c r="O129" s="1">
        <v>0</v>
      </c>
      <c r="P129" s="1">
        <v>0</v>
      </c>
      <c r="Q129" s="1">
        <f>SUM(N129:O129:P129)</f>
        <v>0</v>
      </c>
      <c r="R129" s="1"/>
      <c r="S129" s="6">
        <f>D129-I129-N129</f>
        <v>0</v>
      </c>
      <c r="T129" s="6">
        <f>E129-J129-O129</f>
        <v>0</v>
      </c>
      <c r="U129" s="6">
        <f>F129-K129-P129</f>
        <v>0</v>
      </c>
      <c r="V129" s="6">
        <f>SUM(S129:T129:U129)</f>
        <v>0</v>
      </c>
      <c r="W129" s="1"/>
      <c r="X129" s="1">
        <v>0</v>
      </c>
      <c r="Y129" s="1">
        <v>0</v>
      </c>
      <c r="Z129" s="1">
        <v>0</v>
      </c>
      <c r="AA129" s="1">
        <f>SUM(X129:Y129:Z129)</f>
        <v>0</v>
      </c>
    </row>
    <row r="130" spans="1:27" s="9" customFormat="1" x14ac:dyDescent="0.3">
      <c r="A130" s="9" t="str">
        <f t="shared" si="28"/>
        <v>Daman &amp; Diu</v>
      </c>
      <c r="B130" s="8" t="s">
        <v>13</v>
      </c>
      <c r="C130" s="8">
        <f>SUM(C127:C128:C129)</f>
        <v>1</v>
      </c>
      <c r="D130" s="8">
        <f>SUM(D127:D128:D129)</f>
        <v>4</v>
      </c>
      <c r="E130" s="8">
        <f>SUM(E127:E128:E129)</f>
        <v>1</v>
      </c>
      <c r="F130" s="8">
        <f>SUM(F127:F128:F129)</f>
        <v>0</v>
      </c>
      <c r="G130" s="8">
        <f>SUM(G127:G128:G129)</f>
        <v>5</v>
      </c>
      <c r="H130" s="8"/>
      <c r="I130" s="8">
        <f>SUM(I127:I128:I129)</f>
        <v>0</v>
      </c>
      <c r="J130" s="8">
        <f>SUM(J127:J128:J129)</f>
        <v>1</v>
      </c>
      <c r="K130" s="8">
        <f>SUM(K127:K128:K129)</f>
        <v>0</v>
      </c>
      <c r="L130" s="8">
        <f>SUM(L127:L128:L129)</f>
        <v>1</v>
      </c>
      <c r="M130" s="8"/>
      <c r="N130" s="8">
        <f>SUM(N127:N128:N129)</f>
        <v>0</v>
      </c>
      <c r="O130" s="8">
        <f>SUM(O127:O128:O129)</f>
        <v>0</v>
      </c>
      <c r="P130" s="8">
        <f>SUM(K127:K128:K129)</f>
        <v>0</v>
      </c>
      <c r="Q130" s="8">
        <f>SUM(Q127:Q128:Q129)</f>
        <v>0</v>
      </c>
      <c r="R130" s="8"/>
      <c r="S130" s="8">
        <f>SUM(S127:S128:S129)</f>
        <v>4</v>
      </c>
      <c r="T130" s="8">
        <f>SUM(T127:T128:T129)</f>
        <v>0</v>
      </c>
      <c r="U130" s="8">
        <f>SUM(U127:U128:U129)</f>
        <v>0</v>
      </c>
      <c r="V130" s="8">
        <f>SUM(V127:V128:V129)</f>
        <v>4</v>
      </c>
      <c r="W130" s="8"/>
      <c r="X130" s="8">
        <f>SUM(X127:X128:X129)</f>
        <v>2</v>
      </c>
      <c r="Y130" s="8">
        <f>SUM(Y127:Y128:Y129)</f>
        <v>0</v>
      </c>
      <c r="Z130" s="8">
        <f>SUM(Z127:Z128:Z129)</f>
        <v>0</v>
      </c>
      <c r="AA130" s="8">
        <f>SUM(AA127:AA128:AA129)</f>
        <v>2</v>
      </c>
    </row>
    <row r="131" spans="1:27" x14ac:dyDescent="0.3">
      <c r="A131" s="1" t="s">
        <v>49</v>
      </c>
      <c r="B131" s="1" t="s">
        <v>15</v>
      </c>
      <c r="C131" s="1">
        <v>6</v>
      </c>
      <c r="D131" s="1">
        <v>165</v>
      </c>
      <c r="E131" s="1">
        <v>22</v>
      </c>
      <c r="F131" s="1">
        <v>0</v>
      </c>
      <c r="G131" s="1">
        <f>SUM(D131:E131:F131)</f>
        <v>187</v>
      </c>
      <c r="H131" s="1"/>
      <c r="I131" s="1">
        <v>35</v>
      </c>
      <c r="J131" s="1">
        <v>11</v>
      </c>
      <c r="K131" s="1">
        <v>0</v>
      </c>
      <c r="L131" s="1">
        <f>SUM(I131:J131:K131)</f>
        <v>46</v>
      </c>
      <c r="M131" s="1"/>
      <c r="N131" s="1">
        <v>4</v>
      </c>
      <c r="O131" s="1">
        <v>1</v>
      </c>
      <c r="P131" s="1">
        <v>0</v>
      </c>
      <c r="Q131" s="1">
        <f>SUM(N131:O131:P131)</f>
        <v>5</v>
      </c>
      <c r="R131" s="1"/>
      <c r="S131" s="6">
        <f>D131-I131-N131</f>
        <v>126</v>
      </c>
      <c r="T131" s="6">
        <f>E131-J131-O131</f>
        <v>10</v>
      </c>
      <c r="U131" s="6">
        <f>F131-K131-P131</f>
        <v>0</v>
      </c>
      <c r="V131" s="6">
        <f>SUM(S131:T131:U131)</f>
        <v>136</v>
      </c>
      <c r="W131" s="1"/>
      <c r="X131" s="1">
        <v>112</v>
      </c>
      <c r="Y131" s="1">
        <v>9</v>
      </c>
      <c r="Z131" s="1">
        <v>0</v>
      </c>
      <c r="AA131" s="1">
        <f>SUM(X131:Y131:Z131)</f>
        <v>121</v>
      </c>
    </row>
    <row r="132" spans="1:27" x14ac:dyDescent="0.3">
      <c r="A132" t="str">
        <f t="shared" ref="A132:A134" si="29">A131</f>
        <v>NCT OF Delhi</v>
      </c>
      <c r="B132" s="1" t="s">
        <v>16</v>
      </c>
      <c r="C132" s="1">
        <v>1</v>
      </c>
      <c r="D132" s="1">
        <v>17</v>
      </c>
      <c r="E132" s="1">
        <v>3</v>
      </c>
      <c r="F132" s="1">
        <v>0</v>
      </c>
      <c r="G132" s="1">
        <f>SUM(D132:E132:F132)</f>
        <v>20</v>
      </c>
      <c r="H132" s="1"/>
      <c r="I132" s="1">
        <v>5</v>
      </c>
      <c r="J132" s="1">
        <v>0</v>
      </c>
      <c r="K132" s="1">
        <v>0</v>
      </c>
      <c r="L132" s="1">
        <f>SUM(I132:J132:K132)</f>
        <v>5</v>
      </c>
      <c r="M132" s="1"/>
      <c r="N132" s="1">
        <v>1</v>
      </c>
      <c r="O132" s="1">
        <v>0</v>
      </c>
      <c r="P132" s="1">
        <v>0</v>
      </c>
      <c r="Q132" s="1">
        <f>SUM(N132:O132:P132)</f>
        <v>1</v>
      </c>
      <c r="R132" s="1"/>
      <c r="S132" s="6">
        <f>D132-I132-N132</f>
        <v>11</v>
      </c>
      <c r="T132" s="6">
        <f>E132-J132-O132</f>
        <v>3</v>
      </c>
      <c r="U132" s="6">
        <f>F132-K132-P132</f>
        <v>0</v>
      </c>
      <c r="V132" s="6">
        <f>SUM(S132:T132:U132)</f>
        <v>14</v>
      </c>
      <c r="W132" s="1"/>
      <c r="X132" s="1">
        <v>10</v>
      </c>
      <c r="Y132" s="1">
        <v>2</v>
      </c>
      <c r="Z132" s="1">
        <v>0</v>
      </c>
      <c r="AA132" s="1">
        <f>SUM(X132:Y132:Z132)</f>
        <v>12</v>
      </c>
    </row>
    <row r="133" spans="1:27" x14ac:dyDescent="0.3">
      <c r="A133" t="str">
        <f t="shared" si="29"/>
        <v>NCT OF Delhi</v>
      </c>
      <c r="B133" s="1" t="s">
        <v>17</v>
      </c>
      <c r="C133" s="1">
        <v>0</v>
      </c>
      <c r="D133" s="1">
        <v>0</v>
      </c>
      <c r="E133" s="1">
        <v>0</v>
      </c>
      <c r="F133" s="1">
        <v>0</v>
      </c>
      <c r="G133" s="1">
        <f>SUM(D133:E133:F133)</f>
        <v>0</v>
      </c>
      <c r="H133" s="1"/>
      <c r="I133" s="1">
        <v>0</v>
      </c>
      <c r="J133" s="1">
        <v>0</v>
      </c>
      <c r="K133" s="1">
        <v>0</v>
      </c>
      <c r="L133" s="1">
        <f>SUM(I133:J133:K133)</f>
        <v>0</v>
      </c>
      <c r="M133" s="1"/>
      <c r="N133" s="1">
        <v>0</v>
      </c>
      <c r="O133" s="1">
        <v>0</v>
      </c>
      <c r="P133" s="1">
        <v>0</v>
      </c>
      <c r="Q133" s="1">
        <f>SUM(N133:O133:P133)</f>
        <v>0</v>
      </c>
      <c r="R133" s="1"/>
      <c r="S133" s="6">
        <f>D133-I133-N133</f>
        <v>0</v>
      </c>
      <c r="T133" s="6">
        <f>E133-J133-O133</f>
        <v>0</v>
      </c>
      <c r="U133" s="6">
        <f>F133-K133-P133</f>
        <v>0</v>
      </c>
      <c r="V133" s="6">
        <f>SUM(S133:T133:U133)</f>
        <v>0</v>
      </c>
      <c r="W133" s="1"/>
      <c r="X133" s="1">
        <v>0</v>
      </c>
      <c r="Y133" s="1">
        <v>0</v>
      </c>
      <c r="Z133" s="1">
        <v>0</v>
      </c>
      <c r="AA133" s="1">
        <f>SUM(X133:Y133:Z133)</f>
        <v>0</v>
      </c>
    </row>
    <row r="134" spans="1:27" s="9" customFormat="1" x14ac:dyDescent="0.3">
      <c r="A134" s="9" t="str">
        <f t="shared" si="29"/>
        <v>NCT OF Delhi</v>
      </c>
      <c r="B134" s="8" t="s">
        <v>13</v>
      </c>
      <c r="C134" s="8">
        <f>SUM(C131:C132:C133)</f>
        <v>7</v>
      </c>
      <c r="D134" s="8">
        <f>SUM(D131:D132:D133)</f>
        <v>182</v>
      </c>
      <c r="E134" s="8">
        <f>SUM(E131:E132:E133)</f>
        <v>25</v>
      </c>
      <c r="F134" s="8">
        <f>SUM(F131:F132:F133)</f>
        <v>0</v>
      </c>
      <c r="G134" s="8">
        <f>SUM(G131:G132:G133)</f>
        <v>207</v>
      </c>
      <c r="H134" s="8"/>
      <c r="I134" s="8">
        <f>SUM(I131:I132:I133)</f>
        <v>40</v>
      </c>
      <c r="J134" s="8">
        <f>SUM(J131:J132:J133)</f>
        <v>11</v>
      </c>
      <c r="K134" s="8">
        <f>SUM(K131:K132:K133)</f>
        <v>0</v>
      </c>
      <c r="L134" s="8">
        <f>SUM(L131:L132:L133)</f>
        <v>51</v>
      </c>
      <c r="M134" s="8"/>
      <c r="N134" s="8">
        <f>SUM(N131:N132:N133)</f>
        <v>5</v>
      </c>
      <c r="O134" s="8">
        <f>SUM(O131:O132:O133)</f>
        <v>1</v>
      </c>
      <c r="P134" s="8">
        <f>SUM(K131:K132:K133)</f>
        <v>0</v>
      </c>
      <c r="Q134" s="8">
        <f>SUM(Q131:Q132:Q133)</f>
        <v>6</v>
      </c>
      <c r="R134" s="8"/>
      <c r="S134" s="8">
        <f>SUM(S131:S132:S133)</f>
        <v>137</v>
      </c>
      <c r="T134" s="8">
        <f>SUM(T131:T132:T133)</f>
        <v>13</v>
      </c>
      <c r="U134" s="8">
        <f>SUM(U131:U132:U133)</f>
        <v>0</v>
      </c>
      <c r="V134" s="8">
        <f>SUM(V131:V132:V133)</f>
        <v>150</v>
      </c>
      <c r="W134" s="8"/>
      <c r="X134" s="8">
        <f>SUM(X131:X132:X133)</f>
        <v>122</v>
      </c>
      <c r="Y134" s="8">
        <f>SUM(Y131:Y132:Y133)</f>
        <v>11</v>
      </c>
      <c r="Z134" s="8">
        <f>SUM(Z131:Z132:Z133)</f>
        <v>0</v>
      </c>
      <c r="AA134" s="8">
        <f>SUM(AA131:AA132:AA133)</f>
        <v>133</v>
      </c>
    </row>
    <row r="135" spans="1:27" x14ac:dyDescent="0.3">
      <c r="A135" s="1" t="s">
        <v>50</v>
      </c>
      <c r="B135" s="1" t="s">
        <v>15</v>
      </c>
      <c r="C135" s="1">
        <v>1</v>
      </c>
      <c r="D135" s="1">
        <v>9</v>
      </c>
      <c r="E135" s="1">
        <v>0</v>
      </c>
      <c r="F135" s="1">
        <v>0</v>
      </c>
      <c r="G135" s="1">
        <f>SUM(D135:E135:F135)</f>
        <v>9</v>
      </c>
      <c r="H135" s="1"/>
      <c r="I135" s="1">
        <v>2</v>
      </c>
      <c r="J135" s="1">
        <v>0</v>
      </c>
      <c r="K135" s="1">
        <v>0</v>
      </c>
      <c r="L135" s="1">
        <f>SUM(I135:J135:K135)</f>
        <v>2</v>
      </c>
      <c r="M135" s="1"/>
      <c r="N135" s="1">
        <v>1</v>
      </c>
      <c r="O135" s="1">
        <v>0</v>
      </c>
      <c r="P135" s="1">
        <v>0</v>
      </c>
      <c r="Q135" s="1">
        <f>SUM(N135:O135:P135)</f>
        <v>1</v>
      </c>
      <c r="R135" s="1"/>
      <c r="S135" s="6">
        <f>D135-I135-N135</f>
        <v>6</v>
      </c>
      <c r="T135" s="6">
        <f>E135-J135-O135</f>
        <v>0</v>
      </c>
      <c r="U135" s="6">
        <f>F135-K135-P135</f>
        <v>0</v>
      </c>
      <c r="V135" s="6">
        <f>SUM(S135:T135:U135)</f>
        <v>6</v>
      </c>
      <c r="W135" s="1"/>
      <c r="X135" s="1">
        <v>4</v>
      </c>
      <c r="Y135" s="1">
        <v>0</v>
      </c>
      <c r="Z135" s="1">
        <v>0</v>
      </c>
      <c r="AA135" s="1">
        <f>SUM(X135:Y135:Z135)</f>
        <v>4</v>
      </c>
    </row>
    <row r="136" spans="1:27" x14ac:dyDescent="0.3">
      <c r="A136" t="str">
        <f t="shared" ref="A136:A138" si="30">A135</f>
        <v>Lakshadweep</v>
      </c>
      <c r="B136" s="1" t="s">
        <v>16</v>
      </c>
      <c r="C136" s="1">
        <v>0</v>
      </c>
      <c r="D136" s="1">
        <v>0</v>
      </c>
      <c r="E136" s="1">
        <v>0</v>
      </c>
      <c r="F136" s="1">
        <v>0</v>
      </c>
      <c r="G136" s="1">
        <f>SUM(D136:E136:F136)</f>
        <v>0</v>
      </c>
      <c r="H136" s="1"/>
      <c r="I136" s="1">
        <v>0</v>
      </c>
      <c r="J136" s="1">
        <v>0</v>
      </c>
      <c r="K136" s="1">
        <v>0</v>
      </c>
      <c r="L136" s="1">
        <f>SUM(I136:J136:K136)</f>
        <v>0</v>
      </c>
      <c r="M136" s="1"/>
      <c r="N136" s="1">
        <v>0</v>
      </c>
      <c r="O136" s="1">
        <v>0</v>
      </c>
      <c r="P136" s="1">
        <v>0</v>
      </c>
      <c r="Q136" s="1">
        <f>SUM(N136:O136:P136)</f>
        <v>0</v>
      </c>
      <c r="R136" s="1"/>
      <c r="S136" s="6">
        <f>D136-I136-N136</f>
        <v>0</v>
      </c>
      <c r="T136" s="6">
        <f>E136-J136-O136</f>
        <v>0</v>
      </c>
      <c r="U136" s="6">
        <f>F136-K136-P136</f>
        <v>0</v>
      </c>
      <c r="V136" s="6">
        <f>SUM(S136:T136:U136)</f>
        <v>0</v>
      </c>
      <c r="W136" s="1"/>
      <c r="X136" s="1">
        <v>0</v>
      </c>
      <c r="Y136" s="1">
        <v>0</v>
      </c>
      <c r="Z136" s="1">
        <v>0</v>
      </c>
      <c r="AA136" s="1">
        <f>SUM(X136:Y136:Z136)</f>
        <v>0</v>
      </c>
    </row>
    <row r="137" spans="1:27" x14ac:dyDescent="0.3">
      <c r="A137" t="str">
        <f t="shared" si="30"/>
        <v>Lakshadweep</v>
      </c>
      <c r="B137" s="1" t="s">
        <v>17</v>
      </c>
      <c r="C137" s="1">
        <v>0</v>
      </c>
      <c r="D137" s="1">
        <v>0</v>
      </c>
      <c r="E137" s="1">
        <v>0</v>
      </c>
      <c r="F137" s="1">
        <v>0</v>
      </c>
      <c r="G137" s="1">
        <f>SUM(D137:E137:F137)</f>
        <v>0</v>
      </c>
      <c r="H137" s="1"/>
      <c r="I137" s="1">
        <v>0</v>
      </c>
      <c r="J137" s="1">
        <v>0</v>
      </c>
      <c r="K137" s="1">
        <v>0</v>
      </c>
      <c r="L137" s="1">
        <f>SUM(I137:J137:K137)</f>
        <v>0</v>
      </c>
      <c r="M137" s="1"/>
      <c r="N137" s="1">
        <v>0</v>
      </c>
      <c r="O137" s="1">
        <v>0</v>
      </c>
      <c r="P137" s="1">
        <v>0</v>
      </c>
      <c r="Q137" s="1">
        <f>SUM(N137:O137:P137)</f>
        <v>0</v>
      </c>
      <c r="R137" s="1"/>
      <c r="S137" s="6">
        <f>D137-I137-N137</f>
        <v>0</v>
      </c>
      <c r="T137" s="6">
        <f>E137-J137-O137</f>
        <v>0</v>
      </c>
      <c r="U137" s="6">
        <f>F137-K137-P137</f>
        <v>0</v>
      </c>
      <c r="V137" s="6">
        <f>SUM(S137:T137:U137)</f>
        <v>0</v>
      </c>
      <c r="W137" s="1"/>
      <c r="X137" s="1">
        <v>0</v>
      </c>
      <c r="Y137" s="1">
        <v>0</v>
      </c>
      <c r="Z137" s="1">
        <v>0</v>
      </c>
      <c r="AA137" s="1">
        <f>SUM(X137:Y137:Z137)</f>
        <v>0</v>
      </c>
    </row>
    <row r="138" spans="1:27" s="9" customFormat="1" x14ac:dyDescent="0.3">
      <c r="A138" s="9" t="str">
        <f t="shared" si="30"/>
        <v>Lakshadweep</v>
      </c>
      <c r="B138" s="8" t="s">
        <v>13</v>
      </c>
      <c r="C138" s="8">
        <f>SUM(C135:C136:C137)</f>
        <v>1</v>
      </c>
      <c r="D138" s="8">
        <f>SUM(D135:D136:D137)</f>
        <v>9</v>
      </c>
      <c r="E138" s="8">
        <f>SUM(E135:E136:E137)</f>
        <v>0</v>
      </c>
      <c r="F138" s="8">
        <f>SUM(F135:F136:F137)</f>
        <v>0</v>
      </c>
      <c r="G138" s="8">
        <f>SUM(G135:G136:G137)</f>
        <v>9</v>
      </c>
      <c r="H138" s="8"/>
      <c r="I138" s="8">
        <f>SUM(I135:I136:I137)</f>
        <v>2</v>
      </c>
      <c r="J138" s="8">
        <f>SUM(J135:J136:J137)</f>
        <v>0</v>
      </c>
      <c r="K138" s="8">
        <f>SUM(K135:K136:K137)</f>
        <v>0</v>
      </c>
      <c r="L138" s="8">
        <f>SUM(L135:L136:L137)</f>
        <v>2</v>
      </c>
      <c r="M138" s="8"/>
      <c r="N138" s="8">
        <f>SUM(N135:N136:N137)</f>
        <v>1</v>
      </c>
      <c r="O138" s="8">
        <f>SUM(O135:O136:O137)</f>
        <v>0</v>
      </c>
      <c r="P138" s="8">
        <f>SUM(K135:K136:K137)</f>
        <v>0</v>
      </c>
      <c r="Q138" s="8">
        <f>SUM(Q135:Q136:Q137)</f>
        <v>1</v>
      </c>
      <c r="R138" s="8"/>
      <c r="S138" s="8">
        <f>SUM(S135:S136:S137)</f>
        <v>6</v>
      </c>
      <c r="T138" s="8">
        <f>SUM(T135:T136:T137)</f>
        <v>0</v>
      </c>
      <c r="U138" s="8">
        <f>SUM(U135:U136:U137)</f>
        <v>0</v>
      </c>
      <c r="V138" s="8">
        <f>SUM(V135:V136:V137)</f>
        <v>6</v>
      </c>
      <c r="W138" s="8"/>
      <c r="X138" s="8">
        <f>SUM(X135:X136:X137)</f>
        <v>4</v>
      </c>
      <c r="Y138" s="8">
        <f>SUM(Y135:Y136:Y137)</f>
        <v>0</v>
      </c>
      <c r="Z138" s="8">
        <f>SUM(Z135:Z136:Z137)</f>
        <v>0</v>
      </c>
      <c r="AA138" s="8">
        <f>SUM(AA135:AA136:AA137)</f>
        <v>4</v>
      </c>
    </row>
    <row r="139" spans="1:27" x14ac:dyDescent="0.3">
      <c r="A139" s="1" t="s">
        <v>51</v>
      </c>
      <c r="B139" s="1" t="s">
        <v>15</v>
      </c>
      <c r="C139" s="1">
        <v>1</v>
      </c>
      <c r="D139" s="1">
        <v>38</v>
      </c>
      <c r="E139" s="1">
        <v>3</v>
      </c>
      <c r="F139" s="1">
        <v>0</v>
      </c>
      <c r="G139" s="1">
        <f>SUM(D139:E139:F139)</f>
        <v>41</v>
      </c>
      <c r="H139" s="1"/>
      <c r="I139" s="1">
        <v>8</v>
      </c>
      <c r="J139" s="1">
        <v>0</v>
      </c>
      <c r="K139" s="1">
        <v>0</v>
      </c>
      <c r="L139" s="1">
        <f>SUM(I139:J139:K139)</f>
        <v>8</v>
      </c>
      <c r="M139" s="1"/>
      <c r="N139" s="1">
        <v>3</v>
      </c>
      <c r="O139" s="1">
        <v>0</v>
      </c>
      <c r="P139" s="1">
        <v>0</v>
      </c>
      <c r="Q139" s="1">
        <f>SUM(N139:O139:P139)</f>
        <v>3</v>
      </c>
      <c r="R139" s="1"/>
      <c r="S139" s="6">
        <f>D139-I139-N139</f>
        <v>27</v>
      </c>
      <c r="T139" s="6">
        <f>E139-J139-O139</f>
        <v>3</v>
      </c>
      <c r="U139" s="6">
        <f>F139-K139-P139</f>
        <v>0</v>
      </c>
      <c r="V139" s="6">
        <f>SUM(S139:T139:U139)</f>
        <v>30</v>
      </c>
      <c r="W139" s="1"/>
      <c r="X139" s="1">
        <v>24</v>
      </c>
      <c r="Y139" s="1">
        <v>3</v>
      </c>
      <c r="Z139" s="1">
        <v>0</v>
      </c>
      <c r="AA139" s="1">
        <f>SUM(X139:Y139:Z139)</f>
        <v>27</v>
      </c>
    </row>
    <row r="140" spans="1:27" x14ac:dyDescent="0.3">
      <c r="A140" t="str">
        <f t="shared" ref="A140:A142" si="31">A139</f>
        <v>Puducherry</v>
      </c>
      <c r="B140" s="1" t="s">
        <v>16</v>
      </c>
      <c r="C140" s="1">
        <v>0</v>
      </c>
      <c r="D140" s="1">
        <v>0</v>
      </c>
      <c r="E140" s="1">
        <v>0</v>
      </c>
      <c r="F140" s="1">
        <v>0</v>
      </c>
      <c r="G140" s="1">
        <f>SUM(D140:E140:F140)</f>
        <v>0</v>
      </c>
      <c r="H140" s="1"/>
      <c r="I140" s="1">
        <v>0</v>
      </c>
      <c r="J140" s="1">
        <v>0</v>
      </c>
      <c r="K140" s="1">
        <v>0</v>
      </c>
      <c r="L140" s="1">
        <f>SUM(I140:J140:K140)</f>
        <v>0</v>
      </c>
      <c r="M140" s="1"/>
      <c r="N140" s="1">
        <v>0</v>
      </c>
      <c r="O140" s="1">
        <v>0</v>
      </c>
      <c r="P140" s="1">
        <v>0</v>
      </c>
      <c r="Q140" s="1">
        <f>SUM(N140:O140:P140)</f>
        <v>0</v>
      </c>
      <c r="R140" s="1"/>
      <c r="S140" s="6">
        <f>D140-I140-N140</f>
        <v>0</v>
      </c>
      <c r="T140" s="6">
        <f>E140-J140-O140</f>
        <v>0</v>
      </c>
      <c r="U140" s="6">
        <f>F140-K140-P140</f>
        <v>0</v>
      </c>
      <c r="V140" s="6">
        <f>SUM(S140:T140:U140)</f>
        <v>0</v>
      </c>
      <c r="W140" s="1"/>
      <c r="X140" s="1">
        <v>0</v>
      </c>
      <c r="Y140" s="1">
        <v>0</v>
      </c>
      <c r="Z140" s="1">
        <v>0</v>
      </c>
      <c r="AA140" s="1">
        <f>SUM(X140:Y140:Z140)</f>
        <v>0</v>
      </c>
    </row>
    <row r="141" spans="1:27" x14ac:dyDescent="0.3">
      <c r="A141" t="str">
        <f t="shared" si="31"/>
        <v>Puducherry</v>
      </c>
      <c r="B141" s="1" t="s">
        <v>17</v>
      </c>
      <c r="C141" s="1">
        <v>0</v>
      </c>
      <c r="D141" s="1">
        <v>0</v>
      </c>
      <c r="E141" s="1">
        <v>0</v>
      </c>
      <c r="F141" s="1">
        <v>0</v>
      </c>
      <c r="G141" s="1">
        <f>SUM(D141:E141:F141)</f>
        <v>0</v>
      </c>
      <c r="H141" s="1"/>
      <c r="I141" s="1">
        <v>0</v>
      </c>
      <c r="J141" s="1">
        <v>0</v>
      </c>
      <c r="K141" s="1">
        <v>0</v>
      </c>
      <c r="L141" s="1">
        <f>SUM(I141:J141:K141)</f>
        <v>0</v>
      </c>
      <c r="M141" s="1"/>
      <c r="N141" s="1">
        <v>0</v>
      </c>
      <c r="O141" s="1">
        <v>0</v>
      </c>
      <c r="P141" s="1">
        <v>0</v>
      </c>
      <c r="Q141" s="1">
        <f>SUM(N141:O141:P141)</f>
        <v>0</v>
      </c>
      <c r="R141" s="1"/>
      <c r="S141" s="6">
        <f>D141-I141-N141</f>
        <v>0</v>
      </c>
      <c r="T141" s="6">
        <f>E141-J141-O141</f>
        <v>0</v>
      </c>
      <c r="U141" s="6">
        <f>F141-K141-P141</f>
        <v>0</v>
      </c>
      <c r="V141" s="6">
        <f>SUM(S141:T141:U141)</f>
        <v>0</v>
      </c>
      <c r="W141" s="1"/>
      <c r="X141" s="1">
        <v>0</v>
      </c>
      <c r="Y141" s="1">
        <v>0</v>
      </c>
      <c r="Z141" s="1">
        <v>0</v>
      </c>
      <c r="AA141" s="1">
        <f>SUM(X141:Y141:Z141)</f>
        <v>0</v>
      </c>
    </row>
    <row r="142" spans="1:27" s="9" customFormat="1" x14ac:dyDescent="0.3">
      <c r="A142" s="9" t="str">
        <f t="shared" si="31"/>
        <v>Puducherry</v>
      </c>
      <c r="B142" s="8" t="s">
        <v>13</v>
      </c>
      <c r="C142" s="8">
        <f>SUM(C139:C140:C141)</f>
        <v>1</v>
      </c>
      <c r="D142" s="8">
        <f>SUM(D139:D140:D141)</f>
        <v>38</v>
      </c>
      <c r="E142" s="8">
        <f>SUM(E139:E140:E141)</f>
        <v>3</v>
      </c>
      <c r="F142" s="8">
        <f>SUM(F139:F140:F141)</f>
        <v>0</v>
      </c>
      <c r="G142" s="8">
        <f>SUM(G139:G140:G141)</f>
        <v>41</v>
      </c>
      <c r="H142" s="8"/>
      <c r="I142" s="8">
        <f>SUM(I139:I140:I141)</f>
        <v>8</v>
      </c>
      <c r="J142" s="8">
        <f>SUM(J139:J140:J141)</f>
        <v>0</v>
      </c>
      <c r="K142" s="8">
        <f>SUM(K139:K140:K141)</f>
        <v>0</v>
      </c>
      <c r="L142" s="8">
        <f>SUM(L139:L140:L141)</f>
        <v>8</v>
      </c>
      <c r="M142" s="8"/>
      <c r="N142" s="8">
        <f>SUM(N139:N140:N141)</f>
        <v>3</v>
      </c>
      <c r="O142" s="8">
        <f>SUM(O139:O140:O141)</f>
        <v>0</v>
      </c>
      <c r="P142" s="8">
        <f>SUM(K139:K140:K141)</f>
        <v>0</v>
      </c>
      <c r="Q142" s="8">
        <f>SUM(Q139:Q140:Q141)</f>
        <v>3</v>
      </c>
      <c r="R142" s="8"/>
      <c r="S142" s="8">
        <f>SUM(S139:S140:S141)</f>
        <v>27</v>
      </c>
      <c r="T142" s="8">
        <f>SUM(T139:T140:T141)</f>
        <v>3</v>
      </c>
      <c r="U142" s="8">
        <f>SUM(U139:U140:U141)</f>
        <v>0</v>
      </c>
      <c r="V142" s="8">
        <f>SUM(V139:V140:V141)</f>
        <v>30</v>
      </c>
      <c r="W142" s="8"/>
      <c r="X142" s="8">
        <f>SUM(X139:X140:X141)</f>
        <v>24</v>
      </c>
      <c r="Y142" s="8">
        <f>SUM(Y139:Y140:Y141)</f>
        <v>3</v>
      </c>
      <c r="Z142" s="8">
        <f>SUM(Z139:Z140:Z141)</f>
        <v>0</v>
      </c>
      <c r="AA142" s="8">
        <f>SUM(AA139:AA140:AA141)</f>
        <v>27</v>
      </c>
    </row>
    <row r="143" spans="1:27" s="4" customFormat="1" x14ac:dyDescent="0.3">
      <c r="B143" s="3" t="s">
        <v>52</v>
      </c>
      <c r="C143" s="4">
        <v>534</v>
      </c>
      <c r="D143" s="4">
        <v>10321</v>
      </c>
      <c r="E143" s="4">
        <v>990</v>
      </c>
      <c r="F143" s="4">
        <v>9</v>
      </c>
      <c r="G143" s="4">
        <v>11320</v>
      </c>
      <c r="I143" s="4">
        <v>1662</v>
      </c>
      <c r="J143" s="4">
        <v>223</v>
      </c>
      <c r="K143" s="4">
        <v>3</v>
      </c>
      <c r="L143" s="4">
        <v>1888</v>
      </c>
      <c r="N143" s="4">
        <v>1082</v>
      </c>
      <c r="O143" s="4">
        <v>99</v>
      </c>
      <c r="P143" s="4">
        <v>0</v>
      </c>
      <c r="Q143" s="4">
        <v>1181</v>
      </c>
      <c r="S143" s="11">
        <v>7577</v>
      </c>
      <c r="T143" s="11">
        <v>668</v>
      </c>
      <c r="U143" s="11">
        <v>6</v>
      </c>
      <c r="V143" s="11">
        <v>8251</v>
      </c>
      <c r="X143" s="4">
        <v>6469</v>
      </c>
      <c r="Y143" s="4">
        <v>525</v>
      </c>
      <c r="Z143" s="4">
        <v>6</v>
      </c>
      <c r="AA143" s="4">
        <v>7000</v>
      </c>
    </row>
  </sheetData>
  <mergeCells count="5">
    <mergeCell ref="I1:L1"/>
    <mergeCell ref="D1:G1"/>
    <mergeCell ref="X1:AA1"/>
    <mergeCell ref="N1:Q1"/>
    <mergeCell ref="S1:V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Avijeet</cp:lastModifiedBy>
  <dcterms:created xsi:type="dcterms:W3CDTF">2017-02-21T07:17:09Z</dcterms:created>
  <dcterms:modified xsi:type="dcterms:W3CDTF">2026-03-20T15:43:49Z</dcterms:modified>
</cp:coreProperties>
</file>